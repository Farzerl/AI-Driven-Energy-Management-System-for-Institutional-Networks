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c8755f7bb624960" /></Relationships>
</file>

<file path=xl/workbook.xml><?xml version="1.0" encoding="utf-8"?>
<x:workbook xmlns:x="http://schemas.openxmlformats.org/spreadsheetml/2006/main">
  <x:sheets>
    <x:sheet xmlns:r="http://schemas.openxmlformats.org/officeDocument/2006/relationships" name="README" sheetId="1" r:id="R16f83e2a23aa4ac9"/>
    <x:sheet xmlns:r="http://schemas.openxmlformats.org/officeDocument/2006/relationships" name="Sources" sheetId="2" r:id="R646c4ca36ad54d61"/>
    <x:sheet xmlns:r="http://schemas.openxmlformats.org/officeDocument/2006/relationships" name="Inputs" sheetId="3" r:id="Rd0687f3dd4ea4639"/>
    <x:sheet xmlns:r="http://schemas.openxmlformats.org/officeDocument/2006/relationships" name="Monthly Estimates" sheetId="4" r:id="Rac360af57d3a47eb"/>
    <x:sheet xmlns:r="http://schemas.openxmlformats.org/officeDocument/2006/relationships" name="Cost Breakdown" sheetId="5" r:id="Rcd635ec7498c459a"/>
    <x:sheet xmlns:r="http://schemas.openxmlformats.org/officeDocument/2006/relationships" name="Scenarios" sheetId="6" r:id="R09ee3b908cac45a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0"/>
    <x:numFmt numFmtId="201" formatCode="0.0%"/>
    <x:numFmt numFmtId="202" formatCode="#,##0;[Red](#,##0);-"/>
    <x:numFmt numFmtId="203" formatCode="0.00"/>
    <x:numFmt numFmtId="204" formatCode="#,##0.0;[Red](#,##0.0);-"/>
    <x:numFmt numFmtId="205" formatCode="$0.0000"/>
    <x:numFmt numFmtId="206" formatCode="$#,##0;[Red]($#,##0);-"/>
    <x:numFmt numFmtId="207" formatCode="0.00%"/>
  </x:numFmts>
  <x:fonts count="8">
    <x:font>
      <x:sz val="11"/>
      <x:name val="Carlito"/>
    </x:font>
    <x:font>
      <x:b/>
      <x:sz val="16"/>
      <x:color rgb="FFFFFFFF"/>
      <x:name val="Carlito"/>
    </x:font>
    <x:font>
      <x:b/>
      <x:sz val="11"/>
      <x:name val="Carlito"/>
    </x:font>
    <x:font>
      <x:b/>
      <x:sz val="11"/>
      <x:color rgb="FFFFFFFF"/>
      <x:name val="Carlito"/>
    </x:font>
    <x:font>
      <x:b/>
      <x:sz val="14"/>
      <x:color rgb="FFFFFFFF"/>
      <x:name val="Carlito"/>
    </x:font>
    <x:font>
      <x:sz val="11"/>
      <x:color rgb="FF0000FF"/>
      <x:name val="Carlito"/>
    </x:font>
    <x:font>
      <x:sz val="11"/>
      <x:color rgb="FF008000"/>
      <x:name val="Carlito"/>
    </x:font>
    <x:font>
      <x:sz val="11"/>
      <x:color rgb="FF000000"/>
      <x:name val="Carlito"/>
    </x:font>
  </x:fonts>
  <x:fills count="5">
    <x:fill>
      <x:patternFill patternType="none"/>
    </x:fill>
    <x:fill>
      <x:patternFill patternType="gray125"/>
    </x:fill>
    <x:fill>
      <x:patternFill patternType="solid">
        <x:fgColor rgb="FF0E2730"/>
      </x:patternFill>
    </x:fill>
    <x:fill>
      <x:patternFill patternType="solid">
        <x:fgColor rgb="FFE7F2F0"/>
      </x:patternFill>
    </x:fill>
    <x:fill>
      <x:patternFill patternType="solid">
        <x:fgColor rgb="FFDCE9ED"/>
      </x:patternFill>
    </x:fill>
  </x:fills>
  <x:borders count="4">
    <x:border/>
    <x:border/>
    <x:border>
      <x:top style="thin">
        <x:color rgb="FF000000"/>
      </x:top>
    </x:border>
    <x:border>
      <x:top style="thin">
        <x:color rgb="FF000000"/>
      </x:top>
    </x:border>
  </x:borders>
  <x:cellStyleXfs count="1">
    <x:xf numFmtId="0" fontId="0" fillId="0" borderId="0"/>
  </x:cellStyleXfs>
  <x:cellXfs count="1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3" fillId="2" borderId="1" xfId="0" applyNumberFormat="1" applyFont="1" applyFill="1" applyBorder="1" applyAlignment="1">
      <x:alignment vertical="top"/>
    </x:xf>
    <x:xf numFmtId="0" fontId="4" fillId="2" borderId="0" xfId="0" applyNumberFormat="1" applyFont="1" applyFill="1" applyBorder="1"/>
    <x:xf numFmtId="0" fontId="4" fillId="2"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201" fontId="5" fillId="0" borderId="0" xfId="0" applyNumberFormat="1" applyFont="1" applyFill="1" applyBorder="1"/>
    <x:xf numFmtId="201" fontId="5" fillId="0" borderId="1" xfId="0" applyNumberFormat="1" applyFont="1" applyFill="1" applyBorder="1"/>
    <x:xf numFmtId="202" fontId="5" fillId="0" borderId="0" xfId="0" applyNumberFormat="1" applyFont="1" applyFill="1" applyBorder="1"/>
    <x:xf numFmtId="202" fontId="5" fillId="0" borderId="1" xfId="0" applyNumberFormat="1" applyFont="1" applyFill="1" applyBorder="1"/>
    <x:xf numFmtId="203" fontId="5" fillId="0" borderId="0" xfId="0" applyNumberFormat="1" applyFont="1" applyFill="1" applyBorder="1"/>
    <x:xf numFmtId="203" fontId="5"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204" fontId="7" fillId="0" borderId="0" xfId="0" applyNumberFormat="1" applyFont="1" applyFill="1" applyBorder="1"/>
    <x:xf numFmtId="204" fontId="7" fillId="0" borderId="1" xfId="0" applyNumberFormat="1" applyFont="1" applyFill="1" applyBorder="1"/>
    <x:xf numFmtId="205" fontId="7" fillId="0" borderId="0" xfId="0" applyNumberFormat="1" applyFont="1" applyFill="1" applyBorder="1"/>
    <x:xf numFmtId="205" fontId="7" fillId="0" borderId="1" xfId="0" applyNumberFormat="1" applyFont="1" applyFill="1" applyBorder="1"/>
    <x:xf numFmtId="206" fontId="7" fillId="0" borderId="0" xfId="0" applyNumberFormat="1" applyFont="1" applyFill="1" applyBorder="1"/>
    <x:xf numFmtId="206" fontId="7"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2" fillId="0" borderId="2" xfId="0" applyNumberFormat="1" applyFont="1" applyFill="1" applyBorder="1"/>
    <x:xf numFmtId="0" fontId="2" fillId="0" borderId="3" xfId="0" applyNumberFormat="1" applyFont="1" applyFill="1" applyBorder="1"/>
    <x:xf numFmtId="206" fontId="2" fillId="0" borderId="2" xfId="0" applyNumberFormat="1" applyFont="1" applyFill="1" applyBorder="1"/>
    <x:xf numFmtId="206" fontId="2" fillId="0" borderId="3" xfId="0" applyNumberFormat="1" applyFont="1" applyFill="1" applyBorder="1"/>
    <x:xf numFmtId="201" fontId="0" fillId="0" borderId="0" xfId="0" applyNumberFormat="1" applyFont="1" applyFill="1" applyBorder="1"/>
    <x:xf numFmtId="201"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1" fontId="6" fillId="0" borderId="0" xfId="0" applyNumberFormat="1" applyFont="1" applyFill="1" applyBorder="1"/>
    <x:xf numFmtId="206" fontId="6" fillId="0" borderId="0" xfId="0" applyNumberFormat="1" applyFont="1" applyFill="1" applyBorder="1"/>
    <x:xf numFmtId="201" fontId="6" fillId="0" borderId="1" xfId="0" applyNumberFormat="1" applyFont="1" applyFill="1" applyBorder="1"/>
    <x:xf numFmtId="206" fontId="6" fillId="0" borderId="1" xfId="0" applyNumberFormat="1" applyFont="1" applyFill="1" applyBorder="1"/>
    <x:xf numFmtId="207" fontId="7" fillId="0" borderId="0" xfId="0" applyNumberFormat="1" applyFont="1" applyFill="1" applyBorder="1"/>
    <x:xf numFmtId="207" fontId="7" fillId="0" borderId="1" xfId="0" applyNumberFormat="1" applyFont="1" applyFill="1" applyBorder="1"/>
    <x:xf numFmtId="0" fontId="0"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2" borderId="1" xfId="0" applyNumberFormat="1" applyFont="1" applyFill="1" applyBorder="1" applyAlignment="1">
      <x:alignment vertical="center"/>
    </x:xf>
    <x:xf numFmtId="0" fontId="4" fillId="2" borderId="0" xfId="0" applyNumberFormat="1" applyFont="1" applyFill="1" applyBorder="1" applyAlignment="1">
      <x:alignment vertical="center"/>
    </x:xf>
    <x:xf numFmtId="0" fontId="2" fillId="4"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2" fillId="4" borderId="1" xfId="0" applyNumberFormat="1" applyFont="1" applyFill="1" applyBorder="1" applyAlignment="1">
      <x:alignment vertical="center"/>
    </x:xf>
    <x:xf numFmtId="200" fontId="5" fillId="0" borderId="1" xfId="0" applyNumberFormat="1" applyFont="1" applyFill="1" applyBorder="1" applyAlignment="1">
      <x:alignment vertical="center"/>
    </x:xf>
    <x:xf numFmtId="201" fontId="5" fillId="0" borderId="1" xfId="0" applyNumberFormat="1" applyFont="1" applyFill="1" applyBorder="1" applyAlignment="1">
      <x:alignment vertical="center"/>
    </x:xf>
    <x:xf numFmtId="202" fontId="5" fillId="0" borderId="1" xfId="0" applyNumberFormat="1" applyFont="1" applyFill="1" applyBorder="1" applyAlignment="1">
      <x:alignment vertical="center"/>
    </x:xf>
    <x:xf numFmtId="203" fontId="5" fillId="0"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5" fontId="7"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0" fontId="2" fillId="0" borderId="2" xfId="0" applyNumberFormat="1" applyFont="1" applyFill="1" applyBorder="1" applyAlignment="1">
      <x:alignment vertical="center"/>
    </x:xf>
    <x:xf numFmtId="0" fontId="0" fillId="0" borderId="2" xfId="0" applyNumberFormat="1" applyFont="1" applyFill="1" applyBorder="1" applyAlignment="1">
      <x:alignment vertical="center"/>
    </x:xf>
    <x:xf numFmtId="206" fontId="2" fillId="0" borderId="2" xfId="0" applyNumberFormat="1" applyFont="1" applyFill="1" applyBorder="1" applyAlignment="1">
      <x:alignment vertical="center"/>
    </x:xf>
    <x:xf numFmtId="0" fontId="6" fillId="0" borderId="1" xfId="0" applyNumberFormat="1" applyFont="1" applyFill="1" applyBorder="1" applyAlignment="1">
      <x:alignment vertical="center"/>
    </x:xf>
    <x:xf numFmtId="202" fontId="6" fillId="0" borderId="1" xfId="0" applyNumberFormat="1" applyFont="1" applyFill="1" applyBorder="1" applyAlignment="1">
      <x:alignment vertical="center"/>
    </x:xf>
    <x:xf numFmtId="203" fontId="6" fillId="0" borderId="1" xfId="0" applyNumberFormat="1" applyFont="1" applyFill="1" applyBorder="1" applyAlignment="1">
      <x:alignment vertical="center"/>
    </x:xf>
    <x:xf numFmtId="204" fontId="7" fillId="0" borderId="1" xfId="0" applyNumberFormat="1" applyFont="1" applyFill="1" applyBorder="1" applyAlignment="1">
      <x:alignment vertical="center"/>
    </x:xf>
    <x:xf numFmtId="205" fontId="7" fillId="0" borderId="1" xfId="0" applyNumberFormat="1" applyFont="1" applyFill="1" applyBorder="1" applyAlignment="1">
      <x:alignment vertical="center"/>
    </x:xf>
    <x:xf numFmtId="206" fontId="7" fillId="0" borderId="1" xfId="0" applyNumberFormat="1" applyFont="1" applyFill="1" applyBorder="1" applyAlignment="1">
      <x:alignment vertical="center"/>
    </x:xf>
    <x:xf numFmtId="0" fontId="2" fillId="0" borderId="3" xfId="0" applyNumberFormat="1" applyFont="1" applyFill="1" applyBorder="1" applyAlignment="1">
      <x:alignment vertical="center"/>
    </x:xf>
    <x:xf numFmtId="0" fontId="0" fillId="0" borderId="3" xfId="0" applyNumberFormat="1" applyFont="1" applyFill="1" applyBorder="1" applyAlignment="1">
      <x:alignment vertical="center"/>
    </x:xf>
    <x:xf numFmtId="206" fontId="2" fillId="0" borderId="3" xfId="0" applyNumberFormat="1" applyFont="1" applyFill="1" applyBorder="1" applyAlignment="1">
      <x:alignment vertical="center"/>
    </x:xf>
    <x:xf numFmtId="201" fontId="6" fillId="0" borderId="0" xfId="0" applyNumberFormat="1" applyFont="1" applyFill="1" applyBorder="1" applyAlignment="1">
      <x:alignment vertical="center"/>
    </x:xf>
    <x:xf numFmtId="206" fontId="6" fillId="0" borderId="0" xfId="0" applyNumberFormat="1" applyFont="1" applyFill="1" applyBorder="1" applyAlignment="1">
      <x:alignment vertical="center"/>
    </x:xf>
    <x:xf numFmtId="201" fontId="6" fillId="0" borderId="1" xfId="0" applyNumberFormat="1" applyFont="1" applyFill="1" applyBorder="1" applyAlignment="1">
      <x:alignment vertical="center"/>
    </x:xf>
    <x:xf numFmtId="206" fontId="6" fillId="0" borderId="1" xfId="0" applyNumberFormat="1" applyFont="1" applyFill="1" applyBorder="1" applyAlignment="1">
      <x:alignment vertical="center"/>
    </x:xf>
    <x:xf numFmtId="207" fontId="7"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e1ab86026b4dbd" /><Relationship Type="http://schemas.openxmlformats.org/officeDocument/2006/relationships/theme" Target="/xl/theme/theme1.xml" Id="Rf50f553f73954ec7" /><Relationship Type="http://schemas.openxmlformats.org/officeDocument/2006/relationships/sharedStrings" Target="/xl/sharedStrings.xml" Id="Rbcaa728d76f3417e" /><Relationship Type="http://schemas.openxmlformats.org/officeDocument/2006/relationships/worksheet" Target="/xl/worksheets/sheet1.xml" Id="R16f83e2a23aa4ac9" /><Relationship Type="http://schemas.openxmlformats.org/officeDocument/2006/relationships/worksheet" Target="/xl/worksheets/sheet2.xml" Id="R646c4ca36ad54d61" /><Relationship Type="http://schemas.openxmlformats.org/officeDocument/2006/relationships/worksheet" Target="/xl/worksheets/sheet3.xml" Id="Rd0687f3dd4ea4639" /><Relationship Type="http://schemas.openxmlformats.org/officeDocument/2006/relationships/worksheet" Target="/xl/worksheets/sheet4.xml" Id="Rac360af57d3a47eb" /><Relationship Type="http://schemas.openxmlformats.org/officeDocument/2006/relationships/worksheet" Target="/xl/worksheets/sheet5.xml" Id="Rcd635ec7498c459a" /><Relationship Type="http://schemas.openxmlformats.org/officeDocument/2006/relationships/worksheet" Target="/xl/worksheets/sheet6.xml" Id="R09ee3b908cac45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35aec5d0ff4ba0" /></Relationships>
</file>

<file path=xl/drawings/_rels/drawing2.xml.rels>&#65279;<?xml version="1.0" encoding="utf-8"?><Relationships xmlns="http://schemas.openxmlformats.org/package/2006/relationships"><Relationship Type="http://schemas.openxmlformats.org/officeDocument/2006/relationships/chart" Target="/xl/drawings/charts/chart2.xml" Id="R8cf76b5e588c47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Monthly Electricity Bill</a:t>
            </a:r>
          </a:p>
        </c:rich>
      </c:tx>
      <c:overlay val="0"/>
    </c:title>
    <c:autoTitleDeleted val="0"/>
    <c:plotArea>
      <c:layout/>
      <c:barChart>
        <c:barDir val="col"/>
        <c:grouping val="clustered"/>
        <c:varyColors val="0"/>
        <c:ser>
          <c:idx val="0"/>
          <c:order val="0"/>
          <c:tx>
            <c:v>Series 1</c:v>
          </c:tx>
          <c:cat>
            <c:strLit>
              <c:ptCount val="1"/>
              <c:pt idx="0">
                <c:v>Item 1</c:v>
              </c:pt>
            </c:strLit>
          </c:cat>
          <c:val>
            <c:numLit>
              <c:formatCode>General</c:formatCode>
              <c:ptCount val="1"/>
              <c:pt idx="0">
                <c:v>0</c:v>
              </c:pt>
            </c:numLit>
          </c:val>
        </c:ser>
        <c:ser>
          <c:idx val="1"/>
          <c:order val="1"/>
          <c:tx>
            <c:v>Estimated bill</c:v>
          </c:tx>
          <c:cat>
            <c:strRef>
              <c:f>'Monthly Estimates'!$A$2:$A$9</c:f>
              <c:strCache>
                <c:ptCount val="1"/>
                <c:pt idx="0">
                  <c:v>Item 1</c:v>
                </c:pt>
              </c:strCache>
            </c:strRef>
          </c:cat>
          <c:val>
            <c:numRef>
              <c:f>'Monthly Estimates'!$G$2:$G$9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Peak-Management Scenario Savings</a:t>
            </a:r>
          </a:p>
        </c:rich>
      </c:tx>
      <c:overlay val="0"/>
    </c:title>
    <c:autoTitleDeleted val="0"/>
    <c:plotArea>
      <c:layout/>
      <c:barChart>
        <c:barDir val="col"/>
        <c:grouping val="clustered"/>
        <c:varyColors val="0"/>
        <c:ser>
          <c:idx val="0"/>
          <c:order val="0"/>
          <c:tx>
            <c:v>Series 1</c:v>
          </c:tx>
          <c:cat>
            <c:strLit>
              <c:ptCount val="1"/>
              <c:pt idx="0">
                <c:v>Item 1</c:v>
              </c:pt>
            </c:strLit>
          </c:cat>
          <c:val>
            <c:numLit>
              <c:formatCode>General</c:formatCode>
              <c:ptCount val="1"/>
              <c:pt idx="0">
                <c:v>0</c:v>
              </c:pt>
            </c:numLit>
          </c:val>
        </c:ser>
        <c:ser>
          <c:idx val="1"/>
          <c:order val="1"/>
          <c:tx>
            <c:v>Estimated saving</c:v>
          </c:tx>
          <c:cat>
            <c:strRef>
              <c:f>'Scenarios'!$A$2:$A$4</c:f>
              <c:strCache>
                <c:ptCount val="1"/>
                <c:pt idx="0">
                  <c:v>Item 1</c:v>
                </c:pt>
              </c:strCache>
            </c:strRef>
          </c:cat>
          <c:val>
            <c:numRef>
              <c:f>'Scenarios'!$G$2:$G$4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35aec5d0ff4ba0"/>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f76b5e588c473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b9aefc57079e408d" /></Relationships>
</file>

<file path=xl/worksheets/_rels/sheet6.xml.rels>&#65279;<?xml version="1.0" encoding="utf-8"?><Relationships xmlns="http://schemas.openxmlformats.org/package/2006/relationships"><Relationship Type="http://schemas.openxmlformats.org/officeDocument/2006/relationships/drawing" Target="/xl/drawings/drawing2.xml" Id="R5a2de3c8dfd94b80" /></Relationships>
</file>

<file path=xl/worksheets/sheet1.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5" t="str">
        <x:v>AI4I-EMS Public Tariff and Cost-Impact Model</x:v>
      </x:c>
      <x:c r="B1" s="5"/>
      <x:c r="C1" s="5"/>
      <x:c r="D1" s="5"/>
      <x:c r="E1" s="5"/>
      <x:c r="F1" s="5"/>
      <x:c r="G1" s="5"/>
      <x:c r="H1" s="5"/>
      <x:c r="I1" s="74"/>
      <x:c r="J1" s="74"/>
      <x:c r="K1" s="74"/>
      <x:c r="L1" s="74"/>
      <x:c r="M1" s="74"/>
      <x:c r="N1" s="74"/>
      <x:c r="O1" s="74"/>
      <x:c r="P1" s="74"/>
      <x:c r="Q1" s="74"/>
      <x:c r="R1" s="74"/>
      <x:c r="S1" s="74"/>
      <x:c r="T1" s="74"/>
      <x:c r="U1" s="74"/>
      <x:c r="V1" s="74"/>
      <x:c r="W1" s="74"/>
      <x:c r="X1" s="74"/>
      <x:c r="Y1" s="74"/>
      <x:c r="Z1" s="74"/>
    </x:row>
    <x:row r="2">
      <x:c r="A2" s="74"/>
      <x:c r="B2" s="74"/>
      <x:c r="C2" s="74"/>
      <x:c r="D2" s="74"/>
      <x:c r="E2" s="74"/>
      <x:c r="F2" s="74"/>
      <x:c r="G2" s="74"/>
      <x:c r="H2" s="74"/>
      <x:c r="I2" s="74"/>
      <x:c r="J2" s="74"/>
      <x:c r="K2" s="74"/>
      <x:c r="L2" s="74"/>
      <x:c r="M2" s="74"/>
      <x:c r="N2" s="74"/>
      <x:c r="O2" s="74"/>
      <x:c r="P2" s="74"/>
      <x:c r="Q2" s="74"/>
      <x:c r="R2" s="74"/>
      <x:c r="S2" s="74"/>
      <x:c r="T2" s="74"/>
      <x:c r="U2" s="74"/>
      <x:c r="V2" s="74"/>
      <x:c r="W2" s="74"/>
      <x:c r="X2" s="74"/>
      <x:c r="Y2" s="74"/>
      <x:c r="Z2" s="74"/>
    </x:row>
    <x:row r="3">
      <x:c r="A3" s="75" t="str">
        <x:v>Purpose</x:v>
      </x:c>
      <x:c r="B3" s="76" t="str">
        <x:v>Estimate the order of magnitude of campus electricity expenditure and peak-management value without disclosing the UZ bill.</x:v>
      </x:c>
      <x:c r="C3" s="74"/>
      <x:c r="D3" s="74"/>
      <x:c r="E3" s="74"/>
      <x:c r="F3" s="74"/>
      <x:c r="G3" s="74"/>
      <x:c r="H3" s="74"/>
      <x:c r="I3" s="74"/>
      <x:c r="J3" s="74"/>
      <x:c r="K3" s="74"/>
      <x:c r="L3" s="74"/>
      <x:c r="M3" s="74"/>
      <x:c r="N3" s="74"/>
      <x:c r="O3" s="74"/>
      <x:c r="P3" s="74"/>
      <x:c r="Q3" s="74"/>
      <x:c r="R3" s="74"/>
      <x:c r="S3" s="74"/>
      <x:c r="T3" s="74"/>
      <x:c r="U3" s="74"/>
      <x:c r="V3" s="74"/>
      <x:c r="W3" s="74"/>
      <x:c r="X3" s="74"/>
      <x:c r="Y3" s="74"/>
      <x:c r="Z3" s="74"/>
    </x:row>
    <x:row r="4">
      <x:c r="A4" s="75" t="str">
        <x:v>Model status</x:v>
      </x:c>
      <x:c r="B4" s="76" t="str">
        <x:v>Public-source planning estimate</x:v>
      </x:c>
      <x:c r="C4" s="74"/>
      <x:c r="D4" s="74"/>
      <x:c r="E4" s="74"/>
      <x:c r="F4" s="74"/>
      <x:c r="G4" s="74"/>
      <x:c r="H4" s="74"/>
      <x:c r="I4" s="74"/>
      <x:c r="J4" s="74"/>
      <x:c r="K4" s="74"/>
      <x:c r="L4" s="74"/>
      <x:c r="M4" s="74"/>
      <x:c r="N4" s="74"/>
      <x:c r="O4" s="74"/>
      <x:c r="P4" s="74"/>
      <x:c r="Q4" s="74"/>
      <x:c r="R4" s="74"/>
      <x:c r="S4" s="74"/>
      <x:c r="T4" s="74"/>
      <x:c r="U4" s="74"/>
      <x:c r="V4" s="74"/>
      <x:c r="W4" s="74"/>
      <x:c r="X4" s="74"/>
      <x:c r="Y4" s="74"/>
      <x:c r="Z4" s="74"/>
    </x:row>
    <x:row r="5">
      <x:c r="A5" s="75" t="str">
        <x:v>Study period</x:v>
      </x:c>
      <x:c r="B5" s="76" t="str">
        <x:v>September 2025 to April 2026</x:v>
      </x:c>
      <x:c r="C5" s="74"/>
      <x:c r="D5" s="74"/>
      <x:c r="E5" s="74"/>
      <x:c r="F5" s="74"/>
      <x:c r="G5" s="74"/>
      <x:c r="H5" s="74"/>
      <x:c r="I5" s="74"/>
      <x:c r="J5" s="74"/>
      <x:c r="K5" s="74"/>
      <x:c r="L5" s="74"/>
      <x:c r="M5" s="74"/>
      <x:c r="N5" s="74"/>
      <x:c r="O5" s="74"/>
      <x:c r="P5" s="74"/>
      <x:c r="Q5" s="74"/>
      <x:c r="R5" s="74"/>
      <x:c r="S5" s="74"/>
      <x:c r="T5" s="74"/>
      <x:c r="U5" s="74"/>
      <x:c r="V5" s="74"/>
      <x:c r="W5" s="74"/>
      <x:c r="X5" s="74"/>
      <x:c r="Y5" s="74"/>
      <x:c r="Z5" s="74"/>
    </x:row>
    <x:row r="6">
      <x:c r="A6" s="75" t="str">
        <x:v>Currency</x:v>
      </x:c>
      <x:c r="B6" s="76" t="str">
        <x:v>USD</x:v>
      </x:c>
      <x:c r="C6" s="74"/>
      <x:c r="D6" s="74"/>
      <x:c r="E6" s="74"/>
      <x:c r="F6" s="74"/>
      <x:c r="G6" s="74"/>
      <x:c r="H6" s="74"/>
      <x:c r="I6" s="74"/>
      <x:c r="J6" s="74"/>
      <x:c r="K6" s="74"/>
      <x:c r="L6" s="74"/>
      <x:c r="M6" s="74"/>
      <x:c r="N6" s="74"/>
      <x:c r="O6" s="74"/>
      <x:c r="P6" s="74"/>
      <x:c r="Q6" s="74"/>
      <x:c r="R6" s="74"/>
      <x:c r="S6" s="74"/>
      <x:c r="T6" s="74"/>
      <x:c r="U6" s="74"/>
      <x:c r="V6" s="74"/>
      <x:c r="W6" s="74"/>
      <x:c r="X6" s="74"/>
      <x:c r="Y6" s="74"/>
      <x:c r="Z6" s="74"/>
    </x:row>
    <x:row r="7">
      <x:c r="A7" s="75" t="str">
        <x:v>Tariff anchor</x:v>
      </x:c>
      <x:c r="B7" s="76" t="str">
        <x:v>16.08 USc/kWh public average end-user tariff</x:v>
      </x:c>
      <x:c r="C7" s="74"/>
      <x:c r="D7" s="74"/>
      <x:c r="E7" s="74"/>
      <x:c r="F7" s="74"/>
      <x:c r="G7" s="74"/>
      <x:c r="H7" s="74"/>
      <x:c r="I7" s="74"/>
      <x:c r="J7" s="74"/>
      <x:c r="K7" s="74"/>
      <x:c r="L7" s="74"/>
      <x:c r="M7" s="74"/>
      <x:c r="N7" s="74"/>
      <x:c r="O7" s="74"/>
      <x:c r="P7" s="74"/>
      <x:c r="Q7" s="74"/>
      <x:c r="R7" s="74"/>
      <x:c r="S7" s="74"/>
      <x:c r="T7" s="74"/>
      <x:c r="U7" s="74"/>
      <x:c r="V7" s="74"/>
      <x:c r="W7" s="74"/>
      <x:c r="X7" s="74"/>
      <x:c r="Y7" s="74"/>
      <x:c r="Z7" s="74"/>
    </x:row>
    <x:row r="8">
      <x:c r="A8" s="75" t="str">
        <x:v>Confidentiality</x:v>
      </x:c>
      <x:c r="B8" s="76" t="str">
        <x:v>No customer account, invoice, meter identifier or negotiated tariff is included.</x:v>
      </x:c>
      <x:c r="C8" s="74"/>
      <x:c r="D8" s="74"/>
      <x:c r="E8" s="74"/>
      <x:c r="F8" s="74"/>
      <x:c r="G8" s="74"/>
      <x:c r="H8" s="74"/>
      <x:c r="I8" s="74"/>
      <x:c r="J8" s="74"/>
      <x:c r="K8" s="74"/>
      <x:c r="L8" s="74"/>
      <x:c r="M8" s="74"/>
      <x:c r="N8" s="74"/>
      <x:c r="O8" s="74"/>
      <x:c r="P8" s="74"/>
      <x:c r="Q8" s="74"/>
      <x:c r="R8" s="74"/>
      <x:c r="S8" s="74"/>
      <x:c r="T8" s="74"/>
      <x:c r="U8" s="74"/>
      <x:c r="V8" s="74"/>
      <x:c r="W8" s="74"/>
      <x:c r="X8" s="74"/>
      <x:c r="Y8" s="74"/>
      <x:c r="Z8" s="74"/>
    </x:row>
    <x:row r="9">
      <x:c r="A9" s="75" t="str">
        <x:v>Use</x:v>
      </x:c>
      <x:c r="B9" s="76" t="str">
        <x:v>Submission evidence and pilot planning</x:v>
      </x:c>
      <x:c r="C9" s="74"/>
      <x:c r="D9" s="74"/>
      <x:c r="E9" s="74"/>
      <x:c r="F9" s="74"/>
      <x:c r="G9" s="74"/>
      <x:c r="H9" s="74"/>
      <x:c r="I9" s="74"/>
      <x:c r="J9" s="74"/>
      <x:c r="K9" s="74"/>
      <x:c r="L9" s="74"/>
      <x:c r="M9" s="74"/>
      <x:c r="N9" s="74"/>
      <x:c r="O9" s="74"/>
      <x:c r="P9" s="74"/>
      <x:c r="Q9" s="74"/>
      <x:c r="R9" s="74"/>
      <x:c r="S9" s="74"/>
      <x:c r="T9" s="74"/>
      <x:c r="U9" s="74"/>
      <x:c r="V9" s="74"/>
      <x:c r="W9" s="74"/>
      <x:c r="X9" s="74"/>
      <x:c r="Y9" s="74"/>
      <x:c r="Z9" s="74"/>
    </x:row>
    <x:row r="10">
      <x:c r="A10" s="75" t="str">
        <x:v>Do not claim</x:v>
      </x:c>
      <x:c r="B10" s="76" t="str">
        <x:v>Actual UZ invoice value or realised savings</x:v>
      </x:c>
      <x:c r="C10" s="74"/>
      <x:c r="D10" s="74"/>
      <x:c r="E10" s="74"/>
      <x:c r="F10" s="74"/>
      <x:c r="G10" s="74"/>
      <x:c r="H10" s="74"/>
      <x:c r="I10" s="74"/>
      <x:c r="J10" s="74"/>
      <x:c r="K10" s="74"/>
      <x:c r="L10" s="74"/>
      <x:c r="M10" s="74"/>
      <x:c r="N10" s="74"/>
      <x:c r="O10" s="74"/>
      <x:c r="P10" s="74"/>
      <x:c r="Q10" s="74"/>
      <x:c r="R10" s="74"/>
      <x:c r="S10" s="74"/>
      <x:c r="T10" s="74"/>
      <x:c r="U10" s="74"/>
      <x:c r="V10" s="74"/>
      <x:c r="W10" s="74"/>
      <x:c r="X10" s="74"/>
      <x:c r="Y10" s="74"/>
      <x:c r="Z10" s="74"/>
    </x:row>
    <x:row r="11">
      <x:c r="A11" s="74"/>
      <x:c r="B11" s="74"/>
      <x:c r="C11" s="74"/>
      <x:c r="D11" s="74"/>
      <x:c r="E11" s="74"/>
      <x:c r="F11" s="74"/>
      <x:c r="G11" s="74"/>
      <x:c r="H11" s="74"/>
      <x:c r="I11" s="74"/>
      <x:c r="J11" s="74"/>
      <x:c r="K11" s="74"/>
      <x:c r="L11" s="74"/>
      <x:c r="M11" s="74"/>
      <x:c r="N11" s="74"/>
      <x:c r="O11" s="74"/>
      <x:c r="P11" s="74"/>
      <x:c r="Q11" s="74"/>
      <x:c r="R11" s="74"/>
      <x:c r="S11" s="74"/>
      <x:c r="T11" s="74"/>
      <x:c r="U11" s="74"/>
      <x:c r="V11" s="74"/>
      <x:c r="W11" s="74"/>
      <x:c r="X11" s="74"/>
      <x:c r="Y11" s="74"/>
      <x:c r="Z11" s="74"/>
    </x:row>
    <x:row r="12">
      <x:c r="A12" s="77" t="str">
        <x:v>Claim boundary</x:v>
      </x:c>
      <x:c r="B12" s="77"/>
      <x:c r="C12" s="77"/>
      <x:c r="D12" s="77"/>
      <x:c r="E12" s="77"/>
      <x:c r="F12" s="77"/>
      <x:c r="G12" s="77"/>
      <x:c r="H12" s="77"/>
      <x:c r="I12" s="74"/>
      <x:c r="J12" s="74"/>
      <x:c r="K12" s="74"/>
      <x:c r="L12" s="74"/>
      <x:c r="M12" s="74"/>
      <x:c r="N12" s="74"/>
      <x:c r="O12" s="74"/>
      <x:c r="P12" s="74"/>
      <x:c r="Q12" s="74"/>
      <x:c r="R12" s="74"/>
      <x:c r="S12" s="74"/>
      <x:c r="T12" s="74"/>
      <x:c r="U12" s="74"/>
      <x:c r="V12" s="74"/>
      <x:c r="W12" s="74"/>
      <x:c r="X12" s="74"/>
      <x:c r="Y12" s="74"/>
      <x:c r="Z12" s="74"/>
    </x:row>
    <x:row r="13">
      <x:c r="A13" s="76" t="str">
        <x:v>The model applies public regulatory information to aggregate figures reported in the supplied institutional study. It does not reproduce the University tariff or invoice. All financial values must be verified during a controlled pilot.</x:v>
      </x:c>
      <x:c r="B13" s="76"/>
      <x:c r="C13" s="76"/>
      <x:c r="D13" s="76"/>
      <x:c r="E13" s="76"/>
      <x:c r="F13" s="76"/>
      <x:c r="G13" s="76"/>
      <x:c r="H13" s="76"/>
      <x:c r="I13" s="74"/>
      <x:c r="J13" s="74"/>
      <x:c r="K13" s="74"/>
      <x:c r="L13" s="74"/>
      <x:c r="M13" s="74"/>
      <x:c r="N13" s="74"/>
      <x:c r="O13" s="74"/>
      <x:c r="P13" s="74"/>
      <x:c r="Q13" s="74"/>
      <x:c r="R13" s="74"/>
      <x:c r="S13" s="74"/>
      <x:c r="T13" s="74"/>
      <x:c r="U13" s="74"/>
      <x:c r="V13" s="74"/>
      <x:c r="W13" s="74"/>
      <x:c r="X13" s="74"/>
      <x:c r="Y13" s="74"/>
      <x:c r="Z13" s="74"/>
    </x:row>
    <x:row r="14">
      <x:c r="A14" s="76"/>
      <x:c r="B14" s="76"/>
      <x:c r="C14" s="76"/>
      <x:c r="D14" s="76"/>
      <x:c r="E14" s="76"/>
      <x:c r="F14" s="76"/>
      <x:c r="G14" s="76"/>
      <x:c r="H14" s="76"/>
      <x:c r="I14" s="74"/>
      <x:c r="J14" s="74"/>
      <x:c r="K14" s="74"/>
      <x:c r="L14" s="74"/>
      <x:c r="M14" s="74"/>
      <x:c r="N14" s="74"/>
      <x:c r="O14" s="74"/>
      <x:c r="P14" s="74"/>
      <x:c r="Q14" s="74"/>
      <x:c r="R14" s="74"/>
      <x:c r="S14" s="74"/>
      <x:c r="T14" s="74"/>
      <x:c r="U14" s="74"/>
      <x:c r="V14" s="74"/>
      <x:c r="W14" s="74"/>
      <x:c r="X14" s="74"/>
      <x:c r="Y14" s="74"/>
      <x:c r="Z14" s="74"/>
    </x:row>
    <x:row r="15">
      <x:c r="A15" s="76"/>
      <x:c r="B15" s="76"/>
      <x:c r="C15" s="76"/>
      <x:c r="D15" s="76"/>
      <x:c r="E15" s="76"/>
      <x:c r="F15" s="76"/>
      <x:c r="G15" s="76"/>
      <x:c r="H15" s="76"/>
      <x:c r="I15" s="74"/>
      <x:c r="J15" s="74"/>
      <x:c r="K15" s="74"/>
      <x:c r="L15" s="74"/>
      <x:c r="M15" s="74"/>
      <x:c r="N15" s="74"/>
      <x:c r="O15" s="74"/>
      <x:c r="P15" s="74"/>
      <x:c r="Q15" s="74"/>
      <x:c r="R15" s="74"/>
      <x:c r="S15" s="74"/>
      <x:c r="T15" s="74"/>
      <x:c r="U15" s="74"/>
      <x:c r="V15" s="74"/>
      <x:c r="W15" s="74"/>
      <x:c r="X15" s="74"/>
      <x:c r="Y15" s="74"/>
      <x:c r="Z15" s="74"/>
    </x:row>
    <x:row r="16">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row>
    <x:row r="22">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row>
    <x:row r="23">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mergeCells>
    <x:mergeCell ref="A1:H1"/>
    <x:mergeCell ref="A12:H12"/>
    <x:mergeCell ref="A13:H15"/>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48" hidden="0" customWidth="1"/>
    <x:col min="3" max="3" width="30" hidden="0" customWidth="1"/>
    <x:col min="4" max="4" width="55" hidden="0" customWidth="1"/>
  </x:cols>
  <x:sheetData>
    <x:row r="1">
      <x:c r="A1" s="77" t="str">
        <x:v>Source</x:v>
      </x:c>
      <x:c r="B1" s="77" t="str">
        <x:v>Evidence used</x:v>
      </x:c>
      <x:c r="C1" s="77" t="str">
        <x:v>Published / as of</x:v>
      </x:c>
      <x:c r="D1" s="77" t="str">
        <x:v>URL or document</x:v>
      </x:c>
      <x:c r="E1" s="74"/>
      <x:c r="F1" s="74"/>
      <x:c r="G1" s="74"/>
      <x:c r="H1" s="74"/>
      <x:c r="I1" s="74"/>
      <x:c r="J1" s="74"/>
      <x:c r="K1" s="74"/>
      <x:c r="L1" s="74"/>
      <x:c r="M1" s="74"/>
      <x:c r="N1" s="74"/>
      <x:c r="O1" s="74"/>
      <x:c r="P1" s="74"/>
      <x:c r="Q1" s="74"/>
      <x:c r="R1" s="74"/>
      <x:c r="S1" s="74"/>
      <x:c r="T1" s="74"/>
      <x:c r="U1" s="74"/>
      <x:c r="V1" s="74"/>
      <x:c r="W1" s="74"/>
      <x:c r="X1" s="74"/>
      <x:c r="Y1" s="74"/>
      <x:c r="Z1" s="74"/>
    </x:row>
    <x:row r="2">
      <x:c r="A2" s="76" t="str">
        <x:v>Zimbabwe National Energy Compact</x:v>
      </x:c>
      <x:c r="B2" s="76" t="str">
        <x:v>Average end-user tariff of 16.08 USc/kWh; 21% adjustment effective 1 Dec 2023</x:v>
      </x:c>
      <x:c r="C2" s="76" t="str">
        <x:v>Published on ZERA site in 2025</x:v>
      </x:c>
      <x:c r="D2" s="76" t="str">
        <x:v>https://www.zera.co.zw/wp-content/uploads/simple-file-list/Resource-Assessment/Zimbabwe-Energy-compact_web.pdf</x:v>
      </x:c>
      <x:c r="E2" s="74"/>
      <x:c r="F2" s="74"/>
      <x:c r="G2" s="74"/>
      <x:c r="H2" s="74"/>
      <x:c r="I2" s="74"/>
      <x:c r="J2" s="74"/>
      <x:c r="K2" s="74"/>
      <x:c r="L2" s="74"/>
      <x:c r="M2" s="74"/>
      <x:c r="N2" s="74"/>
      <x:c r="O2" s="74"/>
      <x:c r="P2" s="74"/>
      <x:c r="Q2" s="74"/>
      <x:c r="R2" s="74"/>
      <x:c r="S2" s="74"/>
      <x:c r="T2" s="74"/>
      <x:c r="U2" s="74"/>
      <x:c r="V2" s="74"/>
      <x:c r="W2" s="74"/>
      <x:c r="X2" s="74"/>
      <x:c r="Y2" s="74"/>
      <x:c r="Z2" s="74"/>
    </x:row>
    <x:row r="3">
      <x:c r="A3" s="76" t="str">
        <x:v>ZERA public price page</x:v>
      </x:c>
      <x:c r="B3" s="76" t="str">
        <x:v>USD 4.24 for first 50 domestic units, equivalent to 8.48 USc/kWh; reasonableness check only</x:v>
      </x:c>
      <x:c r="C3" s="76" t="str">
        <x:v>2026-07-08</x:v>
      </x:c>
      <x:c r="D3" s="76" t="str">
        <x:v>https://www.zera.co.zw/</x:v>
      </x:c>
      <x:c r="E3" s="74"/>
      <x:c r="F3" s="74"/>
      <x:c r="G3" s="74"/>
      <x:c r="H3" s="74"/>
      <x:c r="I3" s="74"/>
      <x:c r="J3" s="74"/>
      <x:c r="K3" s="74"/>
      <x:c r="L3" s="74"/>
      <x:c r="M3" s="74"/>
      <x:c r="N3" s="74"/>
      <x:c r="O3" s="74"/>
      <x:c r="P3" s="74"/>
      <x:c r="Q3" s="74"/>
      <x:c r="R3" s="74"/>
      <x:c r="S3" s="74"/>
      <x:c r="T3" s="74"/>
      <x:c r="U3" s="74"/>
      <x:c r="V3" s="74"/>
      <x:c r="W3" s="74"/>
      <x:c r="X3" s="74"/>
      <x:c r="Y3" s="74"/>
      <x:c r="Z3" s="74"/>
    </x:row>
    <x:row r="4">
      <x:c r="A4" s="76" t="str">
        <x:v>Institutional electricity study</x:v>
      </x:c>
      <x:c r="B4" s="76" t="str">
        <x:v>Monthly kWh, load factors, January and April bill-component shares</x:v>
      </x:c>
      <x:c r="C4" s="76" t="str">
        <x:v>Study period 2025-09 to 2026-04</x:v>
      </x:c>
      <x:c r="D4" s="76" t="str">
        <x:v>Electricity Consumption Analysis and Energy Management Opportunities in Institutional Networks.pdf</x:v>
      </x:c>
      <x:c r="E4" s="74"/>
      <x:c r="F4" s="74"/>
      <x:c r="G4" s="74"/>
      <x:c r="H4" s="74"/>
      <x:c r="I4" s="74"/>
      <x:c r="J4" s="74"/>
      <x:c r="K4" s="74"/>
      <x:c r="L4" s="74"/>
      <x:c r="M4" s="74"/>
      <x:c r="N4" s="74"/>
      <x:c r="O4" s="74"/>
      <x:c r="P4" s="74"/>
      <x:c r="Q4" s="74"/>
      <x:c r="R4" s="74"/>
      <x:c r="S4" s="74"/>
      <x:c r="T4" s="74"/>
      <x:c r="U4" s="74"/>
      <x:c r="V4" s="74"/>
      <x:c r="W4" s="74"/>
      <x:c r="X4" s="74"/>
      <x:c r="Y4" s="74"/>
      <x:c r="Z4" s="74"/>
    </x:row>
    <x:row r="5">
      <x:c r="A5" s="74"/>
      <x:c r="B5" s="74"/>
      <x:c r="C5" s="74"/>
      <x:c r="D5" s="74"/>
      <x:c r="E5" s="74"/>
      <x:c r="F5" s="74"/>
      <x:c r="G5" s="74"/>
      <x:c r="H5" s="74"/>
      <x:c r="I5" s="74"/>
      <x:c r="J5" s="74"/>
      <x:c r="K5" s="74"/>
      <x:c r="L5" s="74"/>
      <x:c r="M5" s="74"/>
      <x:c r="N5" s="74"/>
      <x:c r="O5" s="74"/>
      <x:c r="P5" s="74"/>
      <x:c r="Q5" s="74"/>
      <x:c r="R5" s="74"/>
      <x:c r="S5" s="74"/>
      <x:c r="T5" s="74"/>
      <x:c r="U5" s="74"/>
      <x:c r="V5" s="74"/>
      <x:c r="W5" s="74"/>
      <x:c r="X5" s="74"/>
      <x:c r="Y5" s="74"/>
      <x:c r="Z5" s="74"/>
    </x:row>
    <x:row r="6">
      <x:c r="A6" s="74"/>
      <x:c r="B6" s="74"/>
      <x:c r="C6" s="74"/>
      <x:c r="D6" s="74"/>
      <x:c r="E6" s="74"/>
      <x:c r="F6" s="74"/>
      <x:c r="G6" s="74"/>
      <x:c r="H6" s="74"/>
      <x:c r="I6" s="74"/>
      <x:c r="J6" s="74"/>
      <x:c r="K6" s="74"/>
      <x:c r="L6" s="74"/>
      <x:c r="M6" s="74"/>
      <x:c r="N6" s="74"/>
      <x:c r="O6" s="74"/>
      <x:c r="P6" s="74"/>
      <x:c r="Q6" s="74"/>
      <x:c r="R6" s="74"/>
      <x:c r="S6" s="74"/>
      <x:c r="T6" s="74"/>
      <x:c r="U6" s="74"/>
      <x:c r="V6" s="74"/>
      <x:c r="W6" s="74"/>
      <x:c r="X6" s="74"/>
      <x:c r="Y6" s="74"/>
      <x:c r="Z6" s="74"/>
    </x:row>
    <x:row r="7">
      <x:c r="A7" s="74"/>
      <x:c r="B7" s="74"/>
      <x:c r="C7" s="74"/>
      <x:c r="D7" s="74"/>
      <x:c r="E7" s="74"/>
      <x:c r="F7" s="74"/>
      <x:c r="G7" s="74"/>
      <x:c r="H7" s="74"/>
      <x:c r="I7" s="74"/>
      <x:c r="J7" s="74"/>
      <x:c r="K7" s="74"/>
      <x:c r="L7" s="74"/>
      <x:c r="M7" s="74"/>
      <x:c r="N7" s="74"/>
      <x:c r="O7" s="74"/>
      <x:c r="P7" s="74"/>
      <x:c r="Q7" s="74"/>
      <x:c r="R7" s="74"/>
      <x:c r="S7" s="74"/>
      <x:c r="T7" s="74"/>
      <x:c r="U7" s="74"/>
      <x:c r="V7" s="74"/>
      <x:c r="W7" s="74"/>
      <x:c r="X7" s="74"/>
      <x:c r="Y7" s="74"/>
      <x:c r="Z7" s="74"/>
    </x:row>
    <x:row r="8">
      <x:c r="A8" s="74"/>
      <x:c r="B8" s="74"/>
      <x:c r="C8" s="74"/>
      <x:c r="D8" s="74"/>
      <x:c r="E8" s="74"/>
      <x:c r="F8" s="74"/>
      <x:c r="G8" s="74"/>
      <x:c r="H8" s="74"/>
      <x:c r="I8" s="74"/>
      <x:c r="J8" s="74"/>
      <x:c r="K8" s="74"/>
      <x:c r="L8" s="74"/>
      <x:c r="M8" s="74"/>
      <x:c r="N8" s="74"/>
      <x:c r="O8" s="74"/>
      <x:c r="P8" s="74"/>
      <x:c r="Q8" s="74"/>
      <x:c r="R8" s="74"/>
      <x:c r="S8" s="74"/>
      <x:c r="T8" s="74"/>
      <x:c r="U8" s="74"/>
      <x:c r="V8" s="74"/>
      <x:c r="W8" s="74"/>
      <x:c r="X8" s="74"/>
      <x:c r="Y8" s="74"/>
      <x:c r="Z8" s="74"/>
    </x:row>
    <x:row r="9">
      <x:c r="A9" s="74"/>
      <x:c r="B9" s="74"/>
      <x:c r="C9" s="74"/>
      <x:c r="D9" s="74"/>
      <x:c r="E9" s="74"/>
      <x:c r="F9" s="74"/>
      <x:c r="G9" s="74"/>
      <x:c r="H9" s="74"/>
      <x:c r="I9" s="74"/>
      <x:c r="J9" s="74"/>
      <x:c r="K9" s="74"/>
      <x:c r="L9" s="74"/>
      <x:c r="M9" s="74"/>
      <x:c r="N9" s="74"/>
      <x:c r="O9" s="74"/>
      <x:c r="P9" s="74"/>
      <x:c r="Q9" s="74"/>
      <x:c r="R9" s="74"/>
      <x:c r="S9" s="74"/>
      <x:c r="T9" s="74"/>
      <x:c r="U9" s="74"/>
      <x:c r="V9" s="74"/>
      <x:c r="W9" s="74"/>
      <x:c r="X9" s="74"/>
      <x:c r="Y9" s="74"/>
      <x:c r="Z9" s="74"/>
    </x:row>
    <x:row r="10">
      <x:c r="A10" s="74"/>
      <x:c r="B10" s="74"/>
      <x:c r="C10" s="74"/>
      <x:c r="D10" s="74"/>
      <x:c r="E10" s="74"/>
      <x:c r="F10" s="74"/>
      <x:c r="G10" s="74"/>
      <x:c r="H10" s="74"/>
      <x:c r="I10" s="74"/>
      <x:c r="J10" s="74"/>
      <x:c r="K10" s="74"/>
      <x:c r="L10" s="74"/>
      <x:c r="M10" s="74"/>
      <x:c r="N10" s="74"/>
      <x:c r="O10" s="74"/>
      <x:c r="P10" s="74"/>
      <x:c r="Q10" s="74"/>
      <x:c r="R10" s="74"/>
      <x:c r="S10" s="74"/>
      <x:c r="T10" s="74"/>
      <x:c r="U10" s="74"/>
      <x:c r="V10" s="74"/>
      <x:c r="W10" s="74"/>
      <x:c r="X10" s="74"/>
      <x:c r="Y10" s="74"/>
      <x:c r="Z10" s="74"/>
    </x:row>
    <x:row r="11">
      <x:c r="A11" s="74"/>
      <x:c r="B11" s="74"/>
      <x:c r="C11" s="74"/>
      <x:c r="D11" s="74"/>
      <x:c r="E11" s="74"/>
      <x:c r="F11" s="74"/>
      <x:c r="G11" s="74"/>
      <x:c r="H11" s="74"/>
      <x:c r="I11" s="74"/>
      <x:c r="J11" s="74"/>
      <x:c r="K11" s="74"/>
      <x:c r="L11" s="74"/>
      <x:c r="M11" s="74"/>
      <x:c r="N11" s="74"/>
      <x:c r="O11" s="74"/>
      <x:c r="P11" s="74"/>
      <x:c r="Q11" s="74"/>
      <x:c r="R11" s="74"/>
      <x:c r="S11" s="74"/>
      <x:c r="T11" s="74"/>
      <x:c r="U11" s="74"/>
      <x:c r="V11" s="74"/>
      <x:c r="W11" s="74"/>
      <x:c r="X11" s="74"/>
      <x:c r="Y11" s="74"/>
      <x:c r="Z11" s="74"/>
    </x:row>
    <x:row r="12">
      <x:c r="A12" s="74"/>
      <x:c r="B12" s="74"/>
      <x:c r="C12" s="74"/>
      <x:c r="D12" s="74"/>
      <x:c r="E12" s="74"/>
      <x:c r="F12" s="74"/>
      <x:c r="G12" s="74"/>
      <x:c r="H12" s="74"/>
      <x:c r="I12" s="74"/>
      <x:c r="J12" s="74"/>
      <x:c r="K12" s="74"/>
      <x:c r="L12" s="74"/>
      <x:c r="M12" s="74"/>
      <x:c r="N12" s="74"/>
      <x:c r="O12" s="74"/>
      <x:c r="P12" s="74"/>
      <x:c r="Q12" s="74"/>
      <x:c r="R12" s="74"/>
      <x:c r="S12" s="74"/>
      <x:c r="T12" s="74"/>
      <x:c r="U12" s="74"/>
      <x:c r="V12" s="74"/>
      <x:c r="W12" s="74"/>
      <x:c r="X12" s="74"/>
      <x:c r="Y12" s="74"/>
      <x:c r="Z12" s="74"/>
    </x:row>
    <x:row r="13">
      <x:c r="A13" s="74"/>
      <x:c r="B13" s="74"/>
      <x:c r="C13" s="74"/>
      <x:c r="D13" s="74"/>
      <x:c r="E13" s="74"/>
      <x:c r="F13" s="74"/>
      <x:c r="G13" s="74"/>
      <x:c r="H13" s="74"/>
      <x:c r="I13" s="74"/>
      <x:c r="J13" s="74"/>
      <x:c r="K13" s="74"/>
      <x:c r="L13" s="74"/>
      <x:c r="M13" s="74"/>
      <x:c r="N13" s="74"/>
      <x:c r="O13" s="74"/>
      <x:c r="P13" s="74"/>
      <x:c r="Q13" s="74"/>
      <x:c r="R13" s="74"/>
      <x:c r="S13" s="74"/>
      <x:c r="T13" s="74"/>
      <x:c r="U13" s="74"/>
      <x:c r="V13" s="74"/>
      <x:c r="W13" s="74"/>
      <x:c r="X13" s="74"/>
      <x:c r="Y13" s="74"/>
      <x:c r="Z13" s="74"/>
    </x:row>
    <x:row r="14">
      <x:c r="A14" s="74"/>
      <x:c r="B14" s="74"/>
      <x:c r="C14" s="74"/>
      <x:c r="D14" s="74"/>
      <x:c r="E14" s="74"/>
      <x:c r="F14" s="74"/>
      <x:c r="G14" s="74"/>
      <x:c r="H14" s="74"/>
      <x:c r="I14" s="74"/>
      <x:c r="J14" s="74"/>
      <x:c r="K14" s="74"/>
      <x:c r="L14" s="74"/>
      <x:c r="M14" s="74"/>
      <x:c r="N14" s="74"/>
      <x:c r="O14" s="74"/>
      <x:c r="P14" s="74"/>
      <x:c r="Q14" s="74"/>
      <x:c r="R14" s="74"/>
      <x:c r="S14" s="74"/>
      <x:c r="T14" s="74"/>
      <x:c r="U14" s="74"/>
      <x:c r="V14" s="74"/>
      <x:c r="W14" s="74"/>
      <x:c r="X14" s="74"/>
      <x:c r="Y14" s="74"/>
      <x:c r="Z14" s="74"/>
    </x:row>
    <x:row r="15">
      <x:c r="A15" s="74"/>
      <x:c r="B15" s="74"/>
      <x:c r="C15" s="74"/>
      <x:c r="D15" s="74"/>
      <x:c r="E15" s="74"/>
      <x:c r="F15" s="74"/>
      <x:c r="G15" s="74"/>
      <x:c r="H15" s="74"/>
      <x:c r="I15" s="74"/>
      <x:c r="J15" s="74"/>
      <x:c r="K15" s="74"/>
      <x:c r="L15" s="74"/>
      <x:c r="M15" s="74"/>
      <x:c r="N15" s="74"/>
      <x:c r="O15" s="74"/>
      <x:c r="P15" s="74"/>
      <x:c r="Q15" s="74"/>
      <x:c r="R15" s="74"/>
      <x:c r="S15" s="74"/>
      <x:c r="T15" s="74"/>
      <x:c r="U15" s="74"/>
      <x:c r="V15" s="74"/>
      <x:c r="W15" s="74"/>
      <x:c r="X15" s="74"/>
      <x:c r="Y15" s="74"/>
      <x:c r="Z15" s="74"/>
    </x:row>
    <x:row r="16">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row>
    <x:row r="22">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row>
    <x:row r="23">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82" t="str">
        <x:v>Model Inputs and Assumptions</x:v>
      </x:c>
      <x:c r="B1" s="82"/>
      <x:c r="C1" s="82"/>
      <x:c r="D1" s="82"/>
      <x:c r="E1" s="82"/>
      <x:c r="F1" s="82"/>
      <x:c r="G1" s="82"/>
      <x:c r="H1" s="82"/>
      <x:c r="I1" s="74"/>
      <x:c r="J1" s="74"/>
      <x:c r="K1" s="74"/>
      <x:c r="L1" s="74"/>
      <x:c r="M1" s="74"/>
      <x:c r="N1" s="74"/>
      <x:c r="O1" s="74"/>
      <x:c r="P1" s="74"/>
      <x:c r="Q1" s="74"/>
      <x:c r="R1" s="74"/>
      <x:c r="S1" s="74"/>
      <x:c r="T1" s="74"/>
      <x:c r="U1" s="74"/>
      <x:c r="V1" s="74"/>
      <x:c r="W1" s="74"/>
      <x:c r="X1" s="74"/>
      <x:c r="Y1" s="74"/>
      <x:c r="Z1" s="74"/>
    </x:row>
    <x:row r="2">
      <x:c r="A2" s="74"/>
      <x:c r="B2" s="74"/>
      <x:c r="C2" s="74"/>
      <x:c r="D2" s="74"/>
      <x:c r="E2" s="74"/>
      <x:c r="F2" s="74"/>
      <x:c r="G2" s="74"/>
      <x:c r="H2" s="74"/>
      <x:c r="I2" s="74"/>
      <x:c r="J2" s="74"/>
      <x:c r="K2" s="74"/>
      <x:c r="L2" s="74"/>
      <x:c r="M2" s="74"/>
      <x:c r="N2" s="74"/>
      <x:c r="O2" s="74"/>
      <x:c r="P2" s="74"/>
      <x:c r="Q2" s="74"/>
      <x:c r="R2" s="74"/>
      <x:c r="S2" s="74"/>
      <x:c r="T2" s="74"/>
      <x:c r="U2" s="74"/>
      <x:c r="V2" s="74"/>
      <x:c r="W2" s="74"/>
      <x:c r="X2" s="74"/>
      <x:c r="Y2" s="74"/>
      <x:c r="Z2" s="74"/>
    </x:row>
    <x:row r="3">
      <x:c r="A3" s="83" t="str">
        <x:v>Public tariff inputs</x:v>
      </x:c>
      <x:c r="B3" s="83" t="str">
        <x:v>Value</x:v>
      </x:c>
      <x:c r="C3" s="83" t="str">
        <x:v>Units</x:v>
      </x:c>
      <x:c r="D3" s="74"/>
      <x:c r="E3" s="83" t="str">
        <x:v>Scenario</x:v>
      </x:c>
      <x:c r="F3" s="83" t="str">
        <x:v>Peak reduction</x:v>
      </x:c>
      <x:c r="G3" s="83" t="str">
        <x:v>Peak to standard</x:v>
      </x:c>
      <x:c r="H3" s="83" t="str">
        <x:v>Peak to off-peak</x:v>
      </x:c>
      <x:c r="I3" s="74"/>
      <x:c r="J3" s="74"/>
      <x:c r="K3" s="74"/>
      <x:c r="L3" s="74"/>
      <x:c r="M3" s="74"/>
      <x:c r="N3" s="74"/>
      <x:c r="O3" s="74"/>
      <x:c r="P3" s="74"/>
      <x:c r="Q3" s="74"/>
      <x:c r="R3" s="74"/>
      <x:c r="S3" s="74"/>
      <x:c r="T3" s="74"/>
      <x:c r="U3" s="74"/>
      <x:c r="V3" s="74"/>
      <x:c r="W3" s="74"/>
      <x:c r="X3" s="74"/>
      <x:c r="Y3" s="74"/>
      <x:c r="Z3" s="74"/>
    </x:row>
    <x:row r="4">
      <x:c r="A4" s="74" t="str">
        <x:v>Average end-user tariff</x:v>
      </x:c>
      <x:c r="B4" s="84" t="n">
        <x:v>0.1608</x:v>
      </x:c>
      <x:c r="C4" s="74" t="str">
        <x:v>USD/kWh</x:v>
      </x:c>
      <x:c r="D4" s="74"/>
      <x:c r="E4" s="74" t="str">
        <x:v>Conservative</x:v>
      </x:c>
      <x:c r="F4" s="85" t="n">
        <x:v>0.03</x:v>
      </x:c>
      <x:c r="G4" s="85" t="n">
        <x:v>0.01</x:v>
      </x:c>
      <x:c r="H4" s="85" t="n">
        <x:v>0</x:v>
      </x:c>
      <x:c r="I4" s="74"/>
      <x:c r="J4" s="74"/>
      <x:c r="K4" s="74"/>
      <x:c r="L4" s="74"/>
      <x:c r="M4" s="74"/>
      <x:c r="N4" s="74"/>
      <x:c r="O4" s="74"/>
      <x:c r="P4" s="74"/>
      <x:c r="Q4" s="74"/>
      <x:c r="R4" s="74"/>
      <x:c r="S4" s="74"/>
      <x:c r="T4" s="74"/>
      <x:c r="U4" s="74"/>
      <x:c r="V4" s="74"/>
      <x:c r="W4" s="74"/>
      <x:c r="X4" s="74"/>
      <x:c r="Y4" s="74"/>
      <x:c r="Z4" s="74"/>
    </x:row>
    <x:row r="5">
      <x:c r="A5" s="74" t="str">
        <x:v>Demand charge planning proxy</x:v>
      </x:c>
      <x:c r="B5" s="84" t="n">
        <x:v>7.78</x:v>
      </x:c>
      <x:c r="C5" s="74" t="str">
        <x:v>USD/kVA-month</x:v>
      </x:c>
      <x:c r="D5" s="74"/>
      <x:c r="E5" s="74" t="str">
        <x:v>Central planning</x:v>
      </x:c>
      <x:c r="F5" s="85" t="n">
        <x:v>0.05</x:v>
      </x:c>
      <x:c r="G5" s="85" t="n">
        <x:v>0.02</x:v>
      </x:c>
      <x:c r="H5" s="85" t="n">
        <x:v>0.005</x:v>
      </x:c>
      <x:c r="I5" s="74"/>
      <x:c r="J5" s="74"/>
      <x:c r="K5" s="74"/>
      <x:c r="L5" s="74"/>
      <x:c r="M5" s="74"/>
      <x:c r="N5" s="74"/>
      <x:c r="O5" s="74"/>
      <x:c r="P5" s="74"/>
      <x:c r="Q5" s="74"/>
      <x:c r="R5" s="74"/>
      <x:c r="S5" s="74"/>
      <x:c r="T5" s="74"/>
      <x:c r="U5" s="74"/>
      <x:c r="V5" s="74"/>
      <x:c r="W5" s="74"/>
      <x:c r="X5" s="74"/>
      <x:c r="Y5" s="74"/>
      <x:c r="Z5" s="74"/>
    </x:row>
    <x:row r="6">
      <x:c r="A6" s="74" t="str">
        <x:v>Peak energy planning proxy</x:v>
      </x:c>
      <x:c r="B6" s="84" t="n">
        <x:v>0.2173</x:v>
      </x:c>
      <x:c r="C6" s="74" t="str">
        <x:v>USD/kWh</x:v>
      </x:c>
      <x:c r="D6" s="74"/>
      <x:c r="E6" s="74" t="str">
        <x:v>Stretch planning</x:v>
      </x:c>
      <x:c r="F6" s="85" t="n">
        <x:v>0.08</x:v>
      </x:c>
      <x:c r="G6" s="85" t="n">
        <x:v>0.03</x:v>
      </x:c>
      <x:c r="H6" s="85" t="n">
        <x:v>0.01</x:v>
      </x:c>
      <x:c r="I6" s="74"/>
      <x:c r="J6" s="74"/>
      <x:c r="K6" s="74"/>
      <x:c r="L6" s="74"/>
      <x:c r="M6" s="74"/>
      <x:c r="N6" s="74"/>
      <x:c r="O6" s="74"/>
      <x:c r="P6" s="74"/>
      <x:c r="Q6" s="74"/>
      <x:c r="R6" s="74"/>
      <x:c r="S6" s="74"/>
      <x:c r="T6" s="74"/>
      <x:c r="U6" s="74"/>
      <x:c r="V6" s="74"/>
      <x:c r="W6" s="74"/>
      <x:c r="X6" s="74"/>
      <x:c r="Y6" s="74"/>
      <x:c r="Z6" s="74"/>
    </x:row>
    <x:row r="7">
      <x:c r="A7" s="74" t="str">
        <x:v>Standard energy planning proxy</x:v>
      </x:c>
      <x:c r="B7" s="84" t="n">
        <x:v>0.115</x:v>
      </x:c>
      <x:c r="C7" s="74" t="str">
        <x:v>USD/kWh</x:v>
      </x:c>
      <x:c r="D7" s="74"/>
      <x:c r="E7" s="74"/>
      <x:c r="F7" s="74"/>
      <x:c r="G7" s="74"/>
      <x:c r="H7" s="74"/>
      <x:c r="I7" s="74"/>
      <x:c r="J7" s="74"/>
      <x:c r="K7" s="74"/>
      <x:c r="L7" s="74"/>
      <x:c r="M7" s="74"/>
      <x:c r="N7" s="74"/>
      <x:c r="O7" s="74"/>
      <x:c r="P7" s="74"/>
      <x:c r="Q7" s="74"/>
      <x:c r="R7" s="74"/>
      <x:c r="S7" s="74"/>
      <x:c r="T7" s="74"/>
      <x:c r="U7" s="74"/>
      <x:c r="V7" s="74"/>
      <x:c r="W7" s="74"/>
      <x:c r="X7" s="74"/>
      <x:c r="Y7" s="74"/>
      <x:c r="Z7" s="74"/>
    </x:row>
    <x:row r="8">
      <x:c r="A8" s="74" t="str">
        <x:v>Off-peak energy planning proxy</x:v>
      </x:c>
      <x:c r="B8" s="84" t="n">
        <x:v>0.0588</x:v>
      </x:c>
      <x:c r="C8" s="74" t="str">
        <x:v>USD/kWh</x:v>
      </x:c>
      <x:c r="D8" s="74"/>
      <x:c r="E8" s="74"/>
      <x:c r="F8" s="74"/>
      <x:c r="G8" s="74"/>
      <x:c r="H8" s="74"/>
      <x:c r="I8" s="74"/>
      <x:c r="J8" s="74"/>
      <x:c r="K8" s="74"/>
      <x:c r="L8" s="74"/>
      <x:c r="M8" s="74"/>
      <x:c r="N8" s="74"/>
      <x:c r="O8" s="74"/>
      <x:c r="P8" s="74"/>
      <x:c r="Q8" s="74"/>
      <x:c r="R8" s="74"/>
      <x:c r="S8" s="74"/>
      <x:c r="T8" s="74"/>
      <x:c r="U8" s="74"/>
      <x:c r="V8" s="74"/>
      <x:c r="W8" s="74"/>
      <x:c r="X8" s="74"/>
      <x:c r="Y8" s="74"/>
      <x:c r="Z8" s="74"/>
    </x:row>
    <x:row r="9">
      <x:c r="A9" s="74"/>
      <x:c r="B9" s="74"/>
      <x:c r="C9" s="74"/>
      <x:c r="D9" s="74"/>
      <x:c r="E9" s="74"/>
      <x:c r="F9" s="74"/>
      <x:c r="G9" s="74"/>
      <x:c r="H9" s="74"/>
      <x:c r="I9" s="74"/>
      <x:c r="J9" s="74"/>
      <x:c r="K9" s="74"/>
      <x:c r="L9" s="74"/>
      <x:c r="M9" s="74"/>
      <x:c r="N9" s="74"/>
      <x:c r="O9" s="74"/>
      <x:c r="P9" s="74"/>
      <x:c r="Q9" s="74"/>
      <x:c r="R9" s="74"/>
      <x:c r="S9" s="74"/>
      <x:c r="T9" s="74"/>
      <x:c r="U9" s="74"/>
      <x:c r="V9" s="74"/>
      <x:c r="W9" s="74"/>
      <x:c r="X9" s="74"/>
      <x:c r="Y9" s="74"/>
      <x:c r="Z9" s="74"/>
    </x:row>
    <x:row r="10">
      <x:c r="A10" s="83" t="str">
        <x:v>Month</x:v>
      </x:c>
      <x:c r="B10" s="83" t="str">
        <x:v>Energy (kWh)</x:v>
      </x:c>
      <x:c r="C10" s="83" t="str">
        <x:v>Load factor</x:v>
      </x:c>
      <x:c r="D10" s="83" t="str">
        <x:v>Hours</x:v>
      </x:c>
      <x:c r="E10" s="74"/>
      <x:c r="F10" s="74"/>
      <x:c r="G10" s="74"/>
      <x:c r="H10" s="74"/>
      <x:c r="I10" s="74"/>
      <x:c r="J10" s="74"/>
      <x:c r="K10" s="74"/>
      <x:c r="L10" s="74"/>
      <x:c r="M10" s="74"/>
      <x:c r="N10" s="74"/>
      <x:c r="O10" s="74"/>
      <x:c r="P10" s="74"/>
      <x:c r="Q10" s="74"/>
      <x:c r="R10" s="74"/>
      <x:c r="S10" s="74"/>
      <x:c r="T10" s="74"/>
      <x:c r="U10" s="74"/>
      <x:c r="V10" s="74"/>
      <x:c r="W10" s="74"/>
      <x:c r="X10" s="74"/>
      <x:c r="Y10" s="74"/>
      <x:c r="Z10" s="74"/>
    </x:row>
    <x:row r="11">
      <x:c r="A11" s="74" t="str">
        <x:v>Sep 2025</x:v>
      </x:c>
      <x:c r="B11" s="86" t="n">
        <x:v>529580</x:v>
      </x:c>
      <x:c r="C11" s="87" t="n">
        <x:v>0.6</x:v>
      </x:c>
      <x:c r="D11" s="88" t="n">
        <x:v>720</x:v>
      </x:c>
      <x:c r="E11" s="74"/>
      <x:c r="F11" s="74"/>
      <x:c r="G11" s="74"/>
      <x:c r="H11" s="74"/>
      <x:c r="I11" s="74"/>
      <x:c r="J11" s="74"/>
      <x:c r="K11" s="74"/>
      <x:c r="L11" s="74"/>
      <x:c r="M11" s="74"/>
      <x:c r="N11" s="74"/>
      <x:c r="O11" s="74"/>
      <x:c r="P11" s="74"/>
      <x:c r="Q11" s="74"/>
      <x:c r="R11" s="74"/>
      <x:c r="S11" s="74"/>
      <x:c r="T11" s="74"/>
      <x:c r="U11" s="74"/>
      <x:c r="V11" s="74"/>
      <x:c r="W11" s="74"/>
      <x:c r="X11" s="74"/>
      <x:c r="Y11" s="74"/>
      <x:c r="Z11" s="74"/>
    </x:row>
    <x:row r="12">
      <x:c r="A12" s="74" t="str">
        <x:v>Oct 2025</x:v>
      </x:c>
      <x:c r="B12" s="86" t="n">
        <x:v>565430</x:v>
      </x:c>
      <x:c r="C12" s="87" t="n">
        <x:v>0.6</x:v>
      </x:c>
      <x:c r="D12" s="88" t="n">
        <x:v>744</x:v>
      </x:c>
      <x:c r="E12" s="74"/>
      <x:c r="F12" s="74"/>
      <x:c r="G12" s="74"/>
      <x:c r="H12" s="74"/>
      <x:c r="I12" s="74"/>
      <x:c r="J12" s="74"/>
      <x:c r="K12" s="74"/>
      <x:c r="L12" s="74"/>
      <x:c r="M12" s="74"/>
      <x:c r="N12" s="74"/>
      <x:c r="O12" s="74"/>
      <x:c r="P12" s="74"/>
      <x:c r="Q12" s="74"/>
      <x:c r="R12" s="74"/>
      <x:c r="S12" s="74"/>
      <x:c r="T12" s="74"/>
      <x:c r="U12" s="74"/>
      <x:c r="V12" s="74"/>
      <x:c r="W12" s="74"/>
      <x:c r="X12" s="74"/>
      <x:c r="Y12" s="74"/>
      <x:c r="Z12" s="74"/>
    </x:row>
    <x:row r="13">
      <x:c r="A13" s="74" t="str">
        <x:v>Nov 2025</x:v>
      </x:c>
      <x:c r="B13" s="86" t="n">
        <x:v>522210</x:v>
      </x:c>
      <x:c r="C13" s="87" t="n">
        <x:v>0.6</x:v>
      </x:c>
      <x:c r="D13" s="88" t="n">
        <x:v>720</x:v>
      </x:c>
      <x:c r="E13" s="74"/>
      <x:c r="F13" s="74"/>
      <x:c r="G13" s="74"/>
      <x:c r="H13" s="74"/>
      <x:c r="I13" s="74"/>
      <x:c r="J13" s="74"/>
      <x:c r="K13" s="74"/>
      <x:c r="L13" s="74"/>
      <x:c r="M13" s="74"/>
      <x:c r="N13" s="74"/>
      <x:c r="O13" s="74"/>
      <x:c r="P13" s="74"/>
      <x:c r="Q13" s="74"/>
      <x:c r="R13" s="74"/>
      <x:c r="S13" s="74"/>
      <x:c r="T13" s="74"/>
      <x:c r="U13" s="74"/>
      <x:c r="V13" s="74"/>
      <x:c r="W13" s="74"/>
      <x:c r="X13" s="74"/>
      <x:c r="Y13" s="74"/>
      <x:c r="Z13" s="74"/>
    </x:row>
    <x:row r="14">
      <x:c r="A14" s="74" t="str">
        <x:v>Dec 2025</x:v>
      </x:c>
      <x:c r="B14" s="86" t="n">
        <x:v>436671</x:v>
      </x:c>
      <x:c r="C14" s="87" t="n">
        <x:v>0.53</x:v>
      </x:c>
      <x:c r="D14" s="88" t="n">
        <x:v>744</x:v>
      </x:c>
      <x:c r="E14" s="74"/>
      <x:c r="F14" s="74"/>
      <x:c r="G14" s="74"/>
      <x:c r="H14" s="74"/>
      <x:c r="I14" s="74"/>
      <x:c r="J14" s="74"/>
      <x:c r="K14" s="74"/>
      <x:c r="L14" s="74"/>
      <x:c r="M14" s="74"/>
      <x:c r="N14" s="74"/>
      <x:c r="O14" s="74"/>
      <x:c r="P14" s="74"/>
      <x:c r="Q14" s="74"/>
      <x:c r="R14" s="74"/>
      <x:c r="S14" s="74"/>
      <x:c r="T14" s="74"/>
      <x:c r="U14" s="74"/>
      <x:c r="V14" s="74"/>
      <x:c r="W14" s="74"/>
      <x:c r="X14" s="74"/>
      <x:c r="Y14" s="74"/>
      <x:c r="Z14" s="74"/>
    </x:row>
    <x:row r="15">
      <x:c r="A15" s="74" t="str">
        <x:v>Jan 2026</x:v>
      </x:c>
      <x:c r="B15" s="86" t="n">
        <x:v>315129</x:v>
      </x:c>
      <x:c r="C15" s="87" t="n">
        <x:v>0.57</x:v>
      </x:c>
      <x:c r="D15" s="88" t="n">
        <x:v>744</x:v>
      </x:c>
      <x:c r="E15" s="74"/>
      <x:c r="F15" s="74"/>
      <x:c r="G15" s="74"/>
      <x:c r="H15" s="74"/>
      <x:c r="I15" s="74"/>
      <x:c r="J15" s="74"/>
      <x:c r="K15" s="74"/>
      <x:c r="L15" s="74"/>
      <x:c r="M15" s="74"/>
      <x:c r="N15" s="74"/>
      <x:c r="O15" s="74"/>
      <x:c r="P15" s="74"/>
      <x:c r="Q15" s="74"/>
      <x:c r="R15" s="74"/>
      <x:c r="S15" s="74"/>
      <x:c r="T15" s="74"/>
      <x:c r="U15" s="74"/>
      <x:c r="V15" s="74"/>
      <x:c r="W15" s="74"/>
      <x:c r="X15" s="74"/>
      <x:c r="Y15" s="74"/>
      <x:c r="Z15" s="74"/>
    </x:row>
    <x:row r="16">
      <x:c r="A16" s="74" t="str">
        <x:v>Feb 2026</x:v>
      </x:c>
      <x:c r="B16" s="86" t="n">
        <x:v>334464</x:v>
      </x:c>
      <x:c r="C16" s="87" t="n">
        <x:v>0.48</x:v>
      </x:c>
      <x:c r="D16" s="88" t="n">
        <x:v>672</x:v>
      </x:c>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t="str">
        <x:v>Mar 2026</x:v>
      </x:c>
      <x:c r="B17" s="86" t="n">
        <x:v>539560</x:v>
      </x:c>
      <x:c r="C17" s="87" t="n">
        <x:v>0.59</x:v>
      </x:c>
      <x:c r="D17" s="88" t="n">
        <x:v>744</x:v>
      </x:c>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t="str">
        <x:v>Apr 2026</x:v>
      </x:c>
      <x:c r="B18" s="86" t="n">
        <x:v>510294</x:v>
      </x:c>
      <x:c r="C18" s="87" t="n">
        <x:v>0.58</x:v>
      </x:c>
      <x:c r="D18" s="88" t="n">
        <x:v>720</x:v>
      </x:c>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83" t="str">
        <x:v>Month</x:v>
      </x:c>
      <x:c r="B21" s="83" t="str">
        <x:v>Peak energy</x:v>
      </x:c>
      <x:c r="C21" s="83" t="str">
        <x:v>Standard energy</x:v>
      </x:c>
      <x:c r="D21" s="83" t="str">
        <x:v>Off-peak energy</x:v>
      </x:c>
      <x:c r="E21" s="83" t="str">
        <x:v>Demand</x:v>
      </x:c>
      <x:c r="F21" s="83" t="str">
        <x:v>Reactive</x:v>
      </x:c>
      <x:c r="G21" s="74"/>
      <x:c r="H21" s="74"/>
      <x:c r="I21" s="74"/>
      <x:c r="J21" s="74"/>
      <x:c r="K21" s="74"/>
      <x:c r="L21" s="74"/>
      <x:c r="M21" s="74"/>
      <x:c r="N21" s="74"/>
      <x:c r="O21" s="74"/>
      <x:c r="P21" s="74"/>
      <x:c r="Q21" s="74"/>
      <x:c r="R21" s="74"/>
      <x:c r="S21" s="74"/>
      <x:c r="T21" s="74"/>
      <x:c r="U21" s="74"/>
      <x:c r="V21" s="74"/>
      <x:c r="W21" s="74"/>
      <x:c r="X21" s="74"/>
      <x:c r="Y21" s="74"/>
      <x:c r="Z21" s="74"/>
    </x:row>
    <x:row r="22">
      <x:c r="A22" s="74" t="str">
        <x:v>Jan 2026</x:v>
      </x:c>
      <x:c r="B22" s="85" t="n">
        <x:v>0.455</x:v>
      </x:c>
      <x:c r="C22" s="85" t="n">
        <x:v>0.28</x:v>
      </x:c>
      <x:c r="D22" s="85" t="n">
        <x:v>0.115</x:v>
      </x:c>
      <x:c r="E22" s="85" t="n">
        <x:v>0.11</x:v>
      </x:c>
      <x:c r="F22" s="85" t="n">
        <x:v>0.04</x:v>
      </x:c>
      <x:c r="G22" s="74"/>
      <x:c r="H22" s="74"/>
      <x:c r="I22" s="74"/>
      <x:c r="J22" s="74"/>
      <x:c r="K22" s="74"/>
      <x:c r="L22" s="74"/>
      <x:c r="M22" s="74"/>
      <x:c r="N22" s="74"/>
      <x:c r="O22" s="74"/>
      <x:c r="P22" s="74"/>
      <x:c r="Q22" s="74"/>
      <x:c r="R22" s="74"/>
      <x:c r="S22" s="74"/>
      <x:c r="T22" s="74"/>
      <x:c r="U22" s="74"/>
      <x:c r="V22" s="74"/>
      <x:c r="W22" s="74"/>
      <x:c r="X22" s="74"/>
      <x:c r="Y22" s="74"/>
      <x:c r="Z22" s="74"/>
    </x:row>
    <x:row r="23">
      <x:c r="A23" s="74" t="str">
        <x:v>Apr 2026</x:v>
      </x:c>
      <x:c r="B23" s="85" t="n">
        <x:v>0.512</x:v>
      </x:c>
      <x:c r="C23" s="85" t="n">
        <x:v>0.243</x:v>
      </x:c>
      <x:c r="D23" s="85" t="n">
        <x:v>0.087</x:v>
      </x:c>
      <x:c r="E23" s="85" t="n">
        <x:v>0.12</x:v>
      </x:c>
      <x:c r="F23" s="85" t="n">
        <x:v>0.038</x:v>
      </x:c>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28" hidden="0" customWidth="1"/>
  </x:cols>
  <x:sheetData>
    <x:row r="1">
      <x:c r="A1" s="77" t="str">
        <x:v>Month</x:v>
      </x:c>
      <x:c r="B1" s="77" t="str">
        <x:v>Energy (kWh)</x:v>
      </x:c>
      <x:c r="C1" s="77" t="str">
        <x:v>Load factor</x:v>
      </x:c>
      <x:c r="D1" s="77" t="str">
        <x:v>Hours</x:v>
      </x:c>
      <x:c r="E1" s="77" t="str">
        <x:v>Estimated max demand (kVA)</x:v>
      </x:c>
      <x:c r="F1" s="77" t="str">
        <x:v>Average tariff (USD/kWh)</x:v>
      </x:c>
      <x:c r="G1" s="77" t="str">
        <x:v>Estimated bill (USD)</x:v>
      </x:c>
      <x:c r="H1" s="77" t="str">
        <x:v>Bill status</x:v>
      </x:c>
      <x:c r="I1" s="74"/>
      <x:c r="J1" s="74"/>
      <x:c r="K1" s="74"/>
      <x:c r="L1" s="74"/>
      <x:c r="M1" s="74"/>
      <x:c r="N1" s="74"/>
      <x:c r="O1" s="74"/>
      <x:c r="P1" s="74"/>
      <x:c r="Q1" s="74"/>
      <x:c r="R1" s="74"/>
      <x:c r="S1" s="74"/>
      <x:c r="T1" s="74"/>
      <x:c r="U1" s="74"/>
      <x:c r="V1" s="74"/>
      <x:c r="W1" s="74"/>
      <x:c r="X1" s="74"/>
      <x:c r="Y1" s="74"/>
      <x:c r="Z1" s="74"/>
    </x:row>
    <x:row r="2">
      <x:c r="A2" s="96" t="str">
        <x:f>Inputs!A11</x:f>
        <x:v>Sep 2025</x:v>
      </x:c>
      <x:c r="B2" s="97" t="n">
        <x:f>Inputs!B11</x:f>
        <x:v>529580</x:v>
      </x:c>
      <x:c r="C2" s="98" t="n">
        <x:f>Inputs!C11</x:f>
        <x:v>0.6</x:v>
      </x:c>
      <x:c r="D2" s="96" t="n">
        <x:f>Inputs!D11</x:f>
        <x:v>720</x:v>
      </x:c>
      <x:c r="E2" s="99" t="n">
        <x:f>B2/(C2*D2)</x:f>
        <x:v>1225.8796296296296</x:v>
      </x:c>
      <x:c r="F2" s="100" t="n">
        <x:f>Inputs!$B$4</x:f>
        <x:v>0.1608</x:v>
      </x:c>
      <x:c r="G2" s="101" t="n">
        <x:f>B2*F2</x:f>
        <x:v>85156.46399999999</x:v>
      </x:c>
      <x:c r="H2" s="74" t="str">
        <x:v>Indicative planning estimate</x:v>
      </x:c>
      <x:c r="I2" s="74"/>
      <x:c r="J2" s="74"/>
      <x:c r="K2" s="74"/>
      <x:c r="L2" s="74"/>
      <x:c r="M2" s="74"/>
      <x:c r="N2" s="74"/>
      <x:c r="O2" s="74"/>
      <x:c r="P2" s="74"/>
      <x:c r="Q2" s="74"/>
      <x:c r="R2" s="74"/>
      <x:c r="S2" s="74"/>
      <x:c r="T2" s="74"/>
      <x:c r="U2" s="74"/>
      <x:c r="V2" s="74"/>
      <x:c r="W2" s="74"/>
      <x:c r="X2" s="74"/>
      <x:c r="Y2" s="74"/>
      <x:c r="Z2" s="74"/>
    </x:row>
    <x:row r="3">
      <x:c r="A3" s="96" t="str">
        <x:f>Inputs!A12</x:f>
        <x:v>Oct 2025</x:v>
      </x:c>
      <x:c r="B3" s="97" t="n">
        <x:f>Inputs!B12</x:f>
        <x:v>565430</x:v>
      </x:c>
      <x:c r="C3" s="98" t="n">
        <x:f>Inputs!C12</x:f>
        <x:v>0.6</x:v>
      </x:c>
      <x:c r="D3" s="96" t="n">
        <x:f>Inputs!D12</x:f>
        <x:v>744</x:v>
      </x:c>
      <x:c r="E3" s="99" t="n">
        <x:f>B3/(C3*D3)</x:f>
        <x:v>1266.644265232975</x:v>
      </x:c>
      <x:c r="F3" s="100" t="n">
        <x:f>Inputs!$B$4</x:f>
        <x:v>0.1608</x:v>
      </x:c>
      <x:c r="G3" s="101" t="n">
        <x:f>B3*F3</x:f>
        <x:v>90921.144</x:v>
      </x:c>
      <x:c r="H3" s="74" t="str">
        <x:v>Indicative planning estimate</x:v>
      </x:c>
      <x:c r="I3" s="74"/>
      <x:c r="J3" s="74"/>
      <x:c r="K3" s="74"/>
      <x:c r="L3" s="74"/>
      <x:c r="M3" s="74"/>
      <x:c r="N3" s="74"/>
      <x:c r="O3" s="74"/>
      <x:c r="P3" s="74"/>
      <x:c r="Q3" s="74"/>
      <x:c r="R3" s="74"/>
      <x:c r="S3" s="74"/>
      <x:c r="T3" s="74"/>
      <x:c r="U3" s="74"/>
      <x:c r="V3" s="74"/>
      <x:c r="W3" s="74"/>
      <x:c r="X3" s="74"/>
      <x:c r="Y3" s="74"/>
      <x:c r="Z3" s="74"/>
    </x:row>
    <x:row r="4">
      <x:c r="A4" s="96" t="str">
        <x:f>Inputs!A13</x:f>
        <x:v>Nov 2025</x:v>
      </x:c>
      <x:c r="B4" s="97" t="n">
        <x:f>Inputs!B13</x:f>
        <x:v>522210</x:v>
      </x:c>
      <x:c r="C4" s="98" t="n">
        <x:f>Inputs!C13</x:f>
        <x:v>0.6</x:v>
      </x:c>
      <x:c r="D4" s="96" t="n">
        <x:f>Inputs!D13</x:f>
        <x:v>720</x:v>
      </x:c>
      <x:c r="E4" s="99" t="n">
        <x:f>B4/(C4*D4)</x:f>
        <x:v>1208.8194444444443</x:v>
      </x:c>
      <x:c r="F4" s="100" t="n">
        <x:f>Inputs!$B$4</x:f>
        <x:v>0.1608</x:v>
      </x:c>
      <x:c r="G4" s="101" t="n">
        <x:f>B4*F4</x:f>
        <x:v>83971.368</x:v>
      </x:c>
      <x:c r="H4" s="74" t="str">
        <x:v>Indicative planning estimate</x:v>
      </x:c>
      <x:c r="I4" s="74"/>
      <x:c r="J4" s="74"/>
      <x:c r="K4" s="74"/>
      <x:c r="L4" s="74"/>
      <x:c r="M4" s="74"/>
      <x:c r="N4" s="74"/>
      <x:c r="O4" s="74"/>
      <x:c r="P4" s="74"/>
      <x:c r="Q4" s="74"/>
      <x:c r="R4" s="74"/>
      <x:c r="S4" s="74"/>
      <x:c r="T4" s="74"/>
      <x:c r="U4" s="74"/>
      <x:c r="V4" s="74"/>
      <x:c r="W4" s="74"/>
      <x:c r="X4" s="74"/>
      <x:c r="Y4" s="74"/>
      <x:c r="Z4" s="74"/>
    </x:row>
    <x:row r="5">
      <x:c r="A5" s="96" t="str">
        <x:f>Inputs!A14</x:f>
        <x:v>Dec 2025</x:v>
      </x:c>
      <x:c r="B5" s="97" t="n">
        <x:f>Inputs!B14</x:f>
        <x:v>436671</x:v>
      </x:c>
      <x:c r="C5" s="98" t="n">
        <x:f>Inputs!C14</x:f>
        <x:v>0.53</x:v>
      </x:c>
      <x:c r="D5" s="96" t="n">
        <x:f>Inputs!D14</x:f>
        <x:v>744</x:v>
      </x:c>
      <x:c r="E5" s="99" t="n">
        <x:f>B5/(C5*D5)</x:f>
        <x:v>1107.402617163725</x:v>
      </x:c>
      <x:c r="F5" s="100" t="n">
        <x:f>Inputs!$B$4</x:f>
        <x:v>0.1608</x:v>
      </x:c>
      <x:c r="G5" s="101" t="n">
        <x:f>B5*F5</x:f>
        <x:v>70216.6968</x:v>
      </x:c>
      <x:c r="H5" s="74" t="str">
        <x:v>Indicative planning estimate</x:v>
      </x:c>
      <x:c r="I5" s="74"/>
      <x:c r="J5" s="74"/>
      <x:c r="K5" s="74"/>
      <x:c r="L5" s="74"/>
      <x:c r="M5" s="74"/>
      <x:c r="N5" s="74"/>
      <x:c r="O5" s="74"/>
      <x:c r="P5" s="74"/>
      <x:c r="Q5" s="74"/>
      <x:c r="R5" s="74"/>
      <x:c r="S5" s="74"/>
      <x:c r="T5" s="74"/>
      <x:c r="U5" s="74"/>
      <x:c r="V5" s="74"/>
      <x:c r="W5" s="74"/>
      <x:c r="X5" s="74"/>
      <x:c r="Y5" s="74"/>
      <x:c r="Z5" s="74"/>
    </x:row>
    <x:row r="6">
      <x:c r="A6" s="96" t="str">
        <x:f>Inputs!A15</x:f>
        <x:v>Jan 2026</x:v>
      </x:c>
      <x:c r="B6" s="97" t="n">
        <x:f>Inputs!B15</x:f>
        <x:v>315129</x:v>
      </x:c>
      <x:c r="C6" s="98" t="n">
        <x:f>Inputs!C15</x:f>
        <x:v>0.57</x:v>
      </x:c>
      <x:c r="D6" s="96" t="n">
        <x:f>Inputs!D15</x:f>
        <x:v>744</x:v>
      </x:c>
      <x:c r="E6" s="99" t="n">
        <x:f>B6/(C6*D6)</x:f>
        <x:v>743.0885681946803</x:v>
      </x:c>
      <x:c r="F6" s="100" t="n">
        <x:f>Inputs!$B$4</x:f>
        <x:v>0.1608</x:v>
      </x:c>
      <x:c r="G6" s="101" t="n">
        <x:f>B6*F6</x:f>
        <x:v>50672.7432</x:v>
      </x:c>
      <x:c r="H6" s="74" t="str">
        <x:v>Indicative planning estimate</x:v>
      </x:c>
      <x:c r="I6" s="74"/>
      <x:c r="J6" s="74"/>
      <x:c r="K6" s="74"/>
      <x:c r="L6" s="74"/>
      <x:c r="M6" s="74"/>
      <x:c r="N6" s="74"/>
      <x:c r="O6" s="74"/>
      <x:c r="P6" s="74"/>
      <x:c r="Q6" s="74"/>
      <x:c r="R6" s="74"/>
      <x:c r="S6" s="74"/>
      <x:c r="T6" s="74"/>
      <x:c r="U6" s="74"/>
      <x:c r="V6" s="74"/>
      <x:c r="W6" s="74"/>
      <x:c r="X6" s="74"/>
      <x:c r="Y6" s="74"/>
      <x:c r="Z6" s="74"/>
    </x:row>
    <x:row r="7">
      <x:c r="A7" s="96" t="str">
        <x:f>Inputs!A16</x:f>
        <x:v>Feb 2026</x:v>
      </x:c>
      <x:c r="B7" s="97" t="n">
        <x:f>Inputs!B16</x:f>
        <x:v>334464</x:v>
      </x:c>
      <x:c r="C7" s="98" t="n">
        <x:f>Inputs!C16</x:f>
        <x:v>0.48</x:v>
      </x:c>
      <x:c r="D7" s="96" t="n">
        <x:f>Inputs!D16</x:f>
        <x:v>672</x:v>
      </x:c>
      <x:c r="E7" s="99" t="n">
        <x:f>B7/(C7*D7)</x:f>
        <x:v>1036.904761904762</x:v>
      </x:c>
      <x:c r="F7" s="100" t="n">
        <x:f>Inputs!$B$4</x:f>
        <x:v>0.1608</x:v>
      </x:c>
      <x:c r="G7" s="101" t="n">
        <x:f>B7*F7</x:f>
        <x:v>53781.8112</x:v>
      </x:c>
      <x:c r="H7" s="74" t="str">
        <x:v>Indicative planning estimate</x:v>
      </x:c>
      <x:c r="I7" s="74"/>
      <x:c r="J7" s="74"/>
      <x:c r="K7" s="74"/>
      <x:c r="L7" s="74"/>
      <x:c r="M7" s="74"/>
      <x:c r="N7" s="74"/>
      <x:c r="O7" s="74"/>
      <x:c r="P7" s="74"/>
      <x:c r="Q7" s="74"/>
      <x:c r="R7" s="74"/>
      <x:c r="S7" s="74"/>
      <x:c r="T7" s="74"/>
      <x:c r="U7" s="74"/>
      <x:c r="V7" s="74"/>
      <x:c r="W7" s="74"/>
      <x:c r="X7" s="74"/>
      <x:c r="Y7" s="74"/>
      <x:c r="Z7" s="74"/>
    </x:row>
    <x:row r="8">
      <x:c r="A8" s="96" t="str">
        <x:f>Inputs!A17</x:f>
        <x:v>Mar 2026</x:v>
      </x:c>
      <x:c r="B8" s="97" t="n">
        <x:f>Inputs!B17</x:f>
        <x:v>539560</x:v>
      </x:c>
      <x:c r="C8" s="98" t="n">
        <x:f>Inputs!C17</x:f>
        <x:v>0.59</x:v>
      </x:c>
      <x:c r="D8" s="96" t="n">
        <x:f>Inputs!D17</x:f>
        <x:v>744</x:v>
      </x:c>
      <x:c r="E8" s="99" t="n">
        <x:f>B8/(C8*D8)</x:f>
        <x:v>1229.178057226171</x:v>
      </x:c>
      <x:c r="F8" s="100" t="n">
        <x:f>Inputs!$B$4</x:f>
        <x:v>0.1608</x:v>
      </x:c>
      <x:c r="G8" s="101" t="n">
        <x:f>B8*F8</x:f>
        <x:v>86761.24799999999</x:v>
      </x:c>
      <x:c r="H8" s="74" t="str">
        <x:v>Indicative planning estimate</x:v>
      </x:c>
      <x:c r="I8" s="74"/>
      <x:c r="J8" s="74"/>
      <x:c r="K8" s="74"/>
      <x:c r="L8" s="74"/>
      <x:c r="M8" s="74"/>
      <x:c r="N8" s="74"/>
      <x:c r="O8" s="74"/>
      <x:c r="P8" s="74"/>
      <x:c r="Q8" s="74"/>
      <x:c r="R8" s="74"/>
      <x:c r="S8" s="74"/>
      <x:c r="T8" s="74"/>
      <x:c r="U8" s="74"/>
      <x:c r="V8" s="74"/>
      <x:c r="W8" s="74"/>
      <x:c r="X8" s="74"/>
      <x:c r="Y8" s="74"/>
      <x:c r="Z8" s="74"/>
    </x:row>
    <x:row r="9">
      <x:c r="A9" s="96" t="str">
        <x:f>Inputs!A18</x:f>
        <x:v>Apr 2026</x:v>
      </x:c>
      <x:c r="B9" s="97" t="n">
        <x:f>Inputs!B18</x:f>
        <x:v>510294</x:v>
      </x:c>
      <x:c r="C9" s="98" t="n">
        <x:f>Inputs!C18</x:f>
        <x:v>0.58</x:v>
      </x:c>
      <x:c r="D9" s="96" t="n">
        <x:f>Inputs!D18</x:f>
        <x:v>720</x:v>
      </x:c>
      <x:c r="E9" s="99" t="n">
        <x:f>B9/(C9*D9)</x:f>
        <x:v>1221.968390804598</x:v>
      </x:c>
      <x:c r="F9" s="100" t="n">
        <x:f>Inputs!$B$4</x:f>
        <x:v>0.1608</x:v>
      </x:c>
      <x:c r="G9" s="101" t="n">
        <x:f>B9*F9</x:f>
        <x:v>82055.2752</x:v>
      </x:c>
      <x:c r="H9" s="74" t="str">
        <x:v>Indicative planning estimate</x:v>
      </x:c>
      <x:c r="I9" s="74"/>
      <x:c r="J9" s="74"/>
      <x:c r="K9" s="74"/>
      <x:c r="L9" s="74"/>
      <x:c r="M9" s="74"/>
      <x:c r="N9" s="74"/>
      <x:c r="O9" s="74"/>
      <x:c r="P9" s="74"/>
      <x:c r="Q9" s="74"/>
      <x:c r="R9" s="74"/>
      <x:c r="S9" s="74"/>
      <x:c r="T9" s="74"/>
      <x:c r="U9" s="74"/>
      <x:c r="V9" s="74"/>
      <x:c r="W9" s="74"/>
      <x:c r="X9" s="74"/>
      <x:c r="Y9" s="74"/>
      <x:c r="Z9" s="74"/>
    </x:row>
    <x:row r="10">
      <x:c r="A10" s="74"/>
      <x:c r="B10" s="74"/>
      <x:c r="C10" s="74"/>
      <x:c r="D10" s="74"/>
      <x:c r="E10" s="74"/>
      <x:c r="F10" s="74"/>
      <x:c r="G10" s="74"/>
      <x:c r="H10" s="74"/>
      <x:c r="I10" s="74"/>
      <x:c r="J10" s="74"/>
      <x:c r="K10" s="74"/>
      <x:c r="L10" s="74"/>
      <x:c r="M10" s="74"/>
      <x:c r="N10" s="74"/>
      <x:c r="O10" s="74"/>
      <x:c r="P10" s="74"/>
      <x:c r="Q10" s="74"/>
      <x:c r="R10" s="74"/>
      <x:c r="S10" s="74"/>
      <x:c r="T10" s="74"/>
      <x:c r="U10" s="74"/>
      <x:c r="V10" s="74"/>
      <x:c r="W10" s="74"/>
      <x:c r="X10" s="74"/>
      <x:c r="Y10" s="74"/>
      <x:c r="Z10" s="74"/>
    </x:row>
    <x:row r="11">
      <x:c r="A11" s="102" t="str">
        <x:v>Total</x:v>
      </x:c>
      <x:c r="B11" s="103" t="str"/>
      <x:c r="C11" s="103" t="str"/>
      <x:c r="D11" s="103" t="str"/>
      <x:c r="E11" s="103" t="str"/>
      <x:c r="F11" s="103" t="str"/>
      <x:c r="G11" s="104" t="n">
        <x:f>SUM(G2:G9)</x:f>
        <x:v>603536.7504000001</x:v>
      </x:c>
      <x:c r="H11" s="103"/>
      <x:c r="I11" s="74"/>
      <x:c r="J11" s="74"/>
      <x:c r="K11" s="74"/>
      <x:c r="L11" s="74"/>
      <x:c r="M11" s="74"/>
      <x:c r="N11" s="74"/>
      <x:c r="O11" s="74"/>
      <x:c r="P11" s="74"/>
      <x:c r="Q11" s="74"/>
      <x:c r="R11" s="74"/>
      <x:c r="S11" s="74"/>
      <x:c r="T11" s="74"/>
      <x:c r="U11" s="74"/>
      <x:c r="V11" s="74"/>
      <x:c r="W11" s="74"/>
      <x:c r="X11" s="74"/>
      <x:c r="Y11" s="74"/>
      <x:c r="Z11" s="74"/>
    </x:row>
    <x:row r="12">
      <x:c r="A12" s="74"/>
      <x:c r="B12" s="74"/>
      <x:c r="C12" s="74"/>
      <x:c r="D12" s="74"/>
      <x:c r="E12" s="74"/>
      <x:c r="F12" s="74"/>
      <x:c r="G12" s="74"/>
      <x:c r="H12" s="74"/>
      <x:c r="I12" s="74"/>
      <x:c r="J12" s="74"/>
      <x:c r="K12" s="74"/>
      <x:c r="L12" s="74"/>
      <x:c r="M12" s="74"/>
      <x:c r="N12" s="74"/>
      <x:c r="O12" s="74"/>
      <x:c r="P12" s="74"/>
      <x:c r="Q12" s="74"/>
      <x:c r="R12" s="74"/>
      <x:c r="S12" s="74"/>
      <x:c r="T12" s="74"/>
      <x:c r="U12" s="74"/>
      <x:c r="V12" s="74"/>
      <x:c r="W12" s="74"/>
      <x:c r="X12" s="74"/>
      <x:c r="Y12" s="74"/>
      <x:c r="Z12" s="74"/>
    </x:row>
    <x:row r="13">
      <x:c r="A13" s="74"/>
      <x:c r="B13" s="74"/>
      <x:c r="C13" s="74"/>
      <x:c r="D13" s="74"/>
      <x:c r="E13" s="74"/>
      <x:c r="F13" s="74"/>
      <x:c r="G13" s="74"/>
      <x:c r="H13" s="74"/>
      <x:c r="I13" s="74"/>
      <x:c r="J13" s="74"/>
      <x:c r="K13" s="74"/>
      <x:c r="L13" s="74"/>
      <x:c r="M13" s="74"/>
      <x:c r="N13" s="74"/>
      <x:c r="O13" s="74"/>
      <x:c r="P13" s="74"/>
      <x:c r="Q13" s="74"/>
      <x:c r="R13" s="74"/>
      <x:c r="S13" s="74"/>
      <x:c r="T13" s="74"/>
      <x:c r="U13" s="74"/>
      <x:c r="V13" s="74"/>
      <x:c r="W13" s="74"/>
      <x:c r="X13" s="74"/>
      <x:c r="Y13" s="74"/>
      <x:c r="Z13" s="74"/>
    </x:row>
    <x:row r="14">
      <x:c r="A14" s="74"/>
      <x:c r="B14" s="74"/>
      <x:c r="C14" s="74"/>
      <x:c r="D14" s="74"/>
      <x:c r="E14" s="74"/>
      <x:c r="F14" s="74"/>
      <x:c r="G14" s="74"/>
      <x:c r="H14" s="74"/>
      <x:c r="I14" s="74"/>
      <x:c r="J14" s="74"/>
      <x:c r="K14" s="74"/>
      <x:c r="L14" s="74"/>
      <x:c r="M14" s="74"/>
      <x:c r="N14" s="74"/>
      <x:c r="O14" s="74"/>
      <x:c r="P14" s="74"/>
      <x:c r="Q14" s="74"/>
      <x:c r="R14" s="74"/>
      <x:c r="S14" s="74"/>
      <x:c r="T14" s="74"/>
      <x:c r="U14" s="74"/>
      <x:c r="V14" s="74"/>
      <x:c r="W14" s="74"/>
      <x:c r="X14" s="74"/>
      <x:c r="Y14" s="74"/>
      <x:c r="Z14" s="74"/>
    </x:row>
    <x:row r="15">
      <x:c r="A15" s="74"/>
      <x:c r="B15" s="74"/>
      <x:c r="C15" s="74"/>
      <x:c r="D15" s="74"/>
      <x:c r="E15" s="74"/>
      <x:c r="F15" s="74"/>
      <x:c r="G15" s="74"/>
      <x:c r="H15" s="74"/>
      <x:c r="I15" s="74"/>
      <x:c r="J15" s="74"/>
      <x:c r="K15" s="74"/>
      <x:c r="L15" s="74"/>
      <x:c r="M15" s="74"/>
      <x:c r="N15" s="74"/>
      <x:c r="O15" s="74"/>
      <x:c r="P15" s="74"/>
      <x:c r="Q15" s="74"/>
      <x:c r="R15" s="74"/>
      <x:c r="S15" s="74"/>
      <x:c r="T15" s="74"/>
      <x:c r="U15" s="74"/>
      <x:c r="V15" s="74"/>
      <x:c r="W15" s="74"/>
      <x:c r="X15" s="74"/>
      <x:c r="Y15" s="74"/>
      <x:c r="Z15" s="74"/>
    </x:row>
    <x:row r="16">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row>
    <x:row r="22">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row>
    <x:row r="23">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pageMargins left="0.7" right="0.7" top="0.75" bottom="0.75" header="0.3" footer="0.3"/>
  <x:drawing xmlns:r="http://schemas.openxmlformats.org/officeDocument/2006/relationships" r:id="Rb9aefc57079e408d"/>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5" hidden="0" customWidth="1"/>
  </x:cols>
  <x:sheetData>
    <x:row r="1">
      <x:c r="A1" s="77" t="str">
        <x:v>Month</x:v>
      </x:c>
      <x:c r="B1" s="77" t="str">
        <x:v>Component</x:v>
      </x:c>
      <x:c r="C1" s="77" t="str">
        <x:v>Share</x:v>
      </x:c>
      <x:c r="D1" s="77" t="str">
        <x:v>Estimated total bill (USD)</x:v>
      </x:c>
      <x:c r="E1" s="77" t="str">
        <x:v>Estimated component cost (USD)</x:v>
      </x:c>
      <x:c r="F1" s="77" t="str">
        <x:v>Source</x:v>
      </x:c>
      <x:c r="G1" s="74"/>
      <x:c r="H1" s="74"/>
      <x:c r="I1" s="74"/>
      <x:c r="J1" s="74"/>
      <x:c r="K1" s="74"/>
      <x:c r="L1" s="74"/>
      <x:c r="M1" s="74"/>
      <x:c r="N1" s="74"/>
      <x:c r="O1" s="74"/>
      <x:c r="P1" s="74"/>
      <x:c r="Q1" s="74"/>
      <x:c r="R1" s="74"/>
      <x:c r="S1" s="74"/>
      <x:c r="T1" s="74"/>
      <x:c r="U1" s="74"/>
      <x:c r="V1" s="74"/>
      <x:c r="W1" s="74"/>
      <x:c r="X1" s="74"/>
      <x:c r="Y1" s="74"/>
      <x:c r="Z1" s="74"/>
    </x:row>
    <x:row r="2">
      <x:c r="A2" s="74" t="str">
        <x:v>Jan 2026</x:v>
      </x:c>
      <x:c r="B2" s="74" t="str">
        <x:v>Peak energy</x:v>
      </x:c>
      <x:c r="C2" s="114" t="n">
        <x:f>Inputs!B22</x:f>
        <x:v>0.455</x:v>
      </x:c>
      <x:c r="D2" s="115" t="n">
        <x:f>'Monthly Estimates'!G6</x:f>
        <x:v>50672.7432</x:v>
      </x:c>
      <x:c r="E2" s="115" t="n">
        <x:f>C2*D2</x:f>
        <x:v>23056.098156</x:v>
      </x:c>
      <x:c r="F2" s="74" t="str">
        <x:v>Study Figure 4.3.1</x:v>
      </x:c>
      <x:c r="G2" s="74"/>
      <x:c r="H2" s="74"/>
      <x:c r="I2" s="74"/>
      <x:c r="J2" s="74"/>
      <x:c r="K2" s="74"/>
      <x:c r="L2" s="74"/>
      <x:c r="M2" s="74"/>
      <x:c r="N2" s="74"/>
      <x:c r="O2" s="74"/>
      <x:c r="P2" s="74"/>
      <x:c r="Q2" s="74"/>
      <x:c r="R2" s="74"/>
      <x:c r="S2" s="74"/>
      <x:c r="T2" s="74"/>
      <x:c r="U2" s="74"/>
      <x:c r="V2" s="74"/>
      <x:c r="W2" s="74"/>
      <x:c r="X2" s="74"/>
      <x:c r="Y2" s="74"/>
      <x:c r="Z2" s="74"/>
    </x:row>
    <x:row r="3">
      <x:c r="A3" s="74" t="str">
        <x:v>Jan 2026</x:v>
      </x:c>
      <x:c r="B3" s="74" t="str">
        <x:v>Standard energy</x:v>
      </x:c>
      <x:c r="C3" s="114" t="n">
        <x:f>Inputs!C22</x:f>
        <x:v>0.28</x:v>
      </x:c>
      <x:c r="D3" s="115" t="n">
        <x:f>'Monthly Estimates'!G6</x:f>
        <x:v>50672.7432</x:v>
      </x:c>
      <x:c r="E3" s="115" t="n">
        <x:f>C3*D3</x:f>
        <x:v>14188.368096</x:v>
      </x:c>
      <x:c r="F3" s="74" t="str">
        <x:v>Study Figure 4.3.1</x:v>
      </x:c>
      <x:c r="G3" s="74"/>
      <x:c r="H3" s="74"/>
      <x:c r="I3" s="74"/>
      <x:c r="J3" s="74"/>
      <x:c r="K3" s="74"/>
      <x:c r="L3" s="74"/>
      <x:c r="M3" s="74"/>
      <x:c r="N3" s="74"/>
      <x:c r="O3" s="74"/>
      <x:c r="P3" s="74"/>
      <x:c r="Q3" s="74"/>
      <x:c r="R3" s="74"/>
      <x:c r="S3" s="74"/>
      <x:c r="T3" s="74"/>
      <x:c r="U3" s="74"/>
      <x:c r="V3" s="74"/>
      <x:c r="W3" s="74"/>
      <x:c r="X3" s="74"/>
      <x:c r="Y3" s="74"/>
      <x:c r="Z3" s="74"/>
    </x:row>
    <x:row r="4">
      <x:c r="A4" s="74" t="str">
        <x:v>Jan 2026</x:v>
      </x:c>
      <x:c r="B4" s="74" t="str">
        <x:v>Off-peak energy</x:v>
      </x:c>
      <x:c r="C4" s="114" t="n">
        <x:f>Inputs!D22</x:f>
        <x:v>0.115</x:v>
      </x:c>
      <x:c r="D4" s="115" t="n">
        <x:f>'Monthly Estimates'!G6</x:f>
        <x:v>50672.7432</x:v>
      </x:c>
      <x:c r="E4" s="115" t="n">
        <x:f>C4*D4</x:f>
        <x:v>5827.365468</x:v>
      </x:c>
      <x:c r="F4" s="74" t="str">
        <x:v>Study Figure 4.3.1</x:v>
      </x:c>
      <x:c r="G4" s="74"/>
      <x:c r="H4" s="74"/>
      <x:c r="I4" s="74"/>
      <x:c r="J4" s="74"/>
      <x:c r="K4" s="74"/>
      <x:c r="L4" s="74"/>
      <x:c r="M4" s="74"/>
      <x:c r="N4" s="74"/>
      <x:c r="O4" s="74"/>
      <x:c r="P4" s="74"/>
      <x:c r="Q4" s="74"/>
      <x:c r="R4" s="74"/>
      <x:c r="S4" s="74"/>
      <x:c r="T4" s="74"/>
      <x:c r="U4" s="74"/>
      <x:c r="V4" s="74"/>
      <x:c r="W4" s="74"/>
      <x:c r="X4" s="74"/>
      <x:c r="Y4" s="74"/>
      <x:c r="Z4" s="74"/>
    </x:row>
    <x:row r="5">
      <x:c r="A5" s="74" t="str">
        <x:v>Jan 2026</x:v>
      </x:c>
      <x:c r="B5" s="74" t="str">
        <x:v>Demand</x:v>
      </x:c>
      <x:c r="C5" s="114" t="n">
        <x:f>Inputs!E22</x:f>
        <x:v>0.11</x:v>
      </x:c>
      <x:c r="D5" s="115" t="n">
        <x:f>'Monthly Estimates'!G6</x:f>
        <x:v>50672.7432</x:v>
      </x:c>
      <x:c r="E5" s="115" t="n">
        <x:f>C5*D5</x:f>
        <x:v>5574.001752</x:v>
      </x:c>
      <x:c r="F5" s="74" t="str">
        <x:v>Study Figure 4.3.1</x:v>
      </x:c>
      <x:c r="G5" s="74"/>
      <x:c r="H5" s="74"/>
      <x:c r="I5" s="74"/>
      <x:c r="J5" s="74"/>
      <x:c r="K5" s="74"/>
      <x:c r="L5" s="74"/>
      <x:c r="M5" s="74"/>
      <x:c r="N5" s="74"/>
      <x:c r="O5" s="74"/>
      <x:c r="P5" s="74"/>
      <x:c r="Q5" s="74"/>
      <x:c r="R5" s="74"/>
      <x:c r="S5" s="74"/>
      <x:c r="T5" s="74"/>
      <x:c r="U5" s="74"/>
      <x:c r="V5" s="74"/>
      <x:c r="W5" s="74"/>
      <x:c r="X5" s="74"/>
      <x:c r="Y5" s="74"/>
      <x:c r="Z5" s="74"/>
    </x:row>
    <x:row r="6">
      <x:c r="A6" s="74" t="str">
        <x:v>Jan 2026</x:v>
      </x:c>
      <x:c r="B6" s="74" t="str">
        <x:v>Reactive</x:v>
      </x:c>
      <x:c r="C6" s="114" t="n">
        <x:f>Inputs!F22</x:f>
        <x:v>0.04</x:v>
      </x:c>
      <x:c r="D6" s="115" t="n">
        <x:f>'Monthly Estimates'!G6</x:f>
        <x:v>50672.7432</x:v>
      </x:c>
      <x:c r="E6" s="115" t="n">
        <x:f>C6*D6</x:f>
        <x:v>2026.9097279999999</x:v>
      </x:c>
      <x:c r="F6" s="74" t="str">
        <x:v>Study Figure 4.3.1</x:v>
      </x:c>
      <x:c r="G6" s="74"/>
      <x:c r="H6" s="74"/>
      <x:c r="I6" s="74"/>
      <x:c r="J6" s="74"/>
      <x:c r="K6" s="74"/>
      <x:c r="L6" s="74"/>
      <x:c r="M6" s="74"/>
      <x:c r="N6" s="74"/>
      <x:c r="O6" s="74"/>
      <x:c r="P6" s="74"/>
      <x:c r="Q6" s="74"/>
      <x:c r="R6" s="74"/>
      <x:c r="S6" s="74"/>
      <x:c r="T6" s="74"/>
      <x:c r="U6" s="74"/>
      <x:c r="V6" s="74"/>
      <x:c r="W6" s="74"/>
      <x:c r="X6" s="74"/>
      <x:c r="Y6" s="74"/>
      <x:c r="Z6" s="74"/>
    </x:row>
    <x:row r="7">
      <x:c r="A7" s="74" t="str">
        <x:v>Apr 2026</x:v>
      </x:c>
      <x:c r="B7" s="74" t="str">
        <x:v>Peak energy</x:v>
      </x:c>
      <x:c r="C7" s="114" t="n">
        <x:f>Inputs!B23</x:f>
        <x:v>0.512</x:v>
      </x:c>
      <x:c r="D7" s="115" t="n">
        <x:f>'Monthly Estimates'!G9</x:f>
        <x:v>82055.2752</x:v>
      </x:c>
      <x:c r="E7" s="115" t="n">
        <x:f>C7*D7</x:f>
        <x:v>42012.300902400006</x:v>
      </x:c>
      <x:c r="F7" s="74" t="str">
        <x:v>Study Figure 4.3.2</x:v>
      </x:c>
      <x:c r="G7" s="74"/>
      <x:c r="H7" s="74"/>
      <x:c r="I7" s="74"/>
      <x:c r="J7" s="74"/>
      <x:c r="K7" s="74"/>
      <x:c r="L7" s="74"/>
      <x:c r="M7" s="74"/>
      <x:c r="N7" s="74"/>
      <x:c r="O7" s="74"/>
      <x:c r="P7" s="74"/>
      <x:c r="Q7" s="74"/>
      <x:c r="R7" s="74"/>
      <x:c r="S7" s="74"/>
      <x:c r="T7" s="74"/>
      <x:c r="U7" s="74"/>
      <x:c r="V7" s="74"/>
      <x:c r="W7" s="74"/>
      <x:c r="X7" s="74"/>
      <x:c r="Y7" s="74"/>
      <x:c r="Z7" s="74"/>
    </x:row>
    <x:row r="8">
      <x:c r="A8" s="74" t="str">
        <x:v>Apr 2026</x:v>
      </x:c>
      <x:c r="B8" s="74" t="str">
        <x:v>Standard energy</x:v>
      </x:c>
      <x:c r="C8" s="114" t="n">
        <x:f>Inputs!C23</x:f>
        <x:v>0.243</x:v>
      </x:c>
      <x:c r="D8" s="115" t="n">
        <x:f>'Monthly Estimates'!G9</x:f>
        <x:v>82055.2752</x:v>
      </x:c>
      <x:c r="E8" s="115" t="n">
        <x:f>C8*D8</x:f>
        <x:v>19939.4318736</x:v>
      </x:c>
      <x:c r="F8" s="74" t="str">
        <x:v>Study Figure 4.3.2</x:v>
      </x:c>
      <x:c r="G8" s="74"/>
      <x:c r="H8" s="74"/>
      <x:c r="I8" s="74"/>
      <x:c r="J8" s="74"/>
      <x:c r="K8" s="74"/>
      <x:c r="L8" s="74"/>
      <x:c r="M8" s="74"/>
      <x:c r="N8" s="74"/>
      <x:c r="O8" s="74"/>
      <x:c r="P8" s="74"/>
      <x:c r="Q8" s="74"/>
      <x:c r="R8" s="74"/>
      <x:c r="S8" s="74"/>
      <x:c r="T8" s="74"/>
      <x:c r="U8" s="74"/>
      <x:c r="V8" s="74"/>
      <x:c r="W8" s="74"/>
      <x:c r="X8" s="74"/>
      <x:c r="Y8" s="74"/>
      <x:c r="Z8" s="74"/>
    </x:row>
    <x:row r="9">
      <x:c r="A9" s="74" t="str">
        <x:v>Apr 2026</x:v>
      </x:c>
      <x:c r="B9" s="74" t="str">
        <x:v>Off-peak energy</x:v>
      </x:c>
      <x:c r="C9" s="114" t="n">
        <x:f>Inputs!D23</x:f>
        <x:v>0.087</x:v>
      </x:c>
      <x:c r="D9" s="115" t="n">
        <x:f>'Monthly Estimates'!G9</x:f>
        <x:v>82055.2752</x:v>
      </x:c>
      <x:c r="E9" s="115" t="n">
        <x:f>C9*D9</x:f>
        <x:v>7138.8089424</x:v>
      </x:c>
      <x:c r="F9" s="74" t="str">
        <x:v>Study Figure 4.3.2</x:v>
      </x:c>
      <x:c r="G9" s="74"/>
      <x:c r="H9" s="74"/>
      <x:c r="I9" s="74"/>
      <x:c r="J9" s="74"/>
      <x:c r="K9" s="74"/>
      <x:c r="L9" s="74"/>
      <x:c r="M9" s="74"/>
      <x:c r="N9" s="74"/>
      <x:c r="O9" s="74"/>
      <x:c r="P9" s="74"/>
      <x:c r="Q9" s="74"/>
      <x:c r="R9" s="74"/>
      <x:c r="S9" s="74"/>
      <x:c r="T9" s="74"/>
      <x:c r="U9" s="74"/>
      <x:c r="V9" s="74"/>
      <x:c r="W9" s="74"/>
      <x:c r="X9" s="74"/>
      <x:c r="Y9" s="74"/>
      <x:c r="Z9" s="74"/>
    </x:row>
    <x:row r="10">
      <x:c r="A10" s="74" t="str">
        <x:v>Apr 2026</x:v>
      </x:c>
      <x:c r="B10" s="74" t="str">
        <x:v>Demand</x:v>
      </x:c>
      <x:c r="C10" s="114" t="n">
        <x:f>Inputs!E23</x:f>
        <x:v>0.12</x:v>
      </x:c>
      <x:c r="D10" s="115" t="n">
        <x:f>'Monthly Estimates'!G9</x:f>
        <x:v>82055.2752</x:v>
      </x:c>
      <x:c r="E10" s="115" t="n">
        <x:f>C10*D10</x:f>
        <x:v>9846.633024</x:v>
      </x:c>
      <x:c r="F10" s="74" t="str">
        <x:v>Study Figure 4.3.2</x:v>
      </x:c>
      <x:c r="G10" s="74"/>
      <x:c r="H10" s="74"/>
      <x:c r="I10" s="74"/>
      <x:c r="J10" s="74"/>
      <x:c r="K10" s="74"/>
      <x:c r="L10" s="74"/>
      <x:c r="M10" s="74"/>
      <x:c r="N10" s="74"/>
      <x:c r="O10" s="74"/>
      <x:c r="P10" s="74"/>
      <x:c r="Q10" s="74"/>
      <x:c r="R10" s="74"/>
      <x:c r="S10" s="74"/>
      <x:c r="T10" s="74"/>
      <x:c r="U10" s="74"/>
      <x:c r="V10" s="74"/>
      <x:c r="W10" s="74"/>
      <x:c r="X10" s="74"/>
      <x:c r="Y10" s="74"/>
      <x:c r="Z10" s="74"/>
    </x:row>
    <x:row r="11">
      <x:c r="A11" s="74" t="str">
        <x:v>Apr 2026</x:v>
      </x:c>
      <x:c r="B11" s="74" t="str">
        <x:v>Reactive</x:v>
      </x:c>
      <x:c r="C11" s="114" t="n">
        <x:f>Inputs!F23</x:f>
        <x:v>0.038</x:v>
      </x:c>
      <x:c r="D11" s="115" t="n">
        <x:f>'Monthly Estimates'!G9</x:f>
        <x:v>82055.2752</x:v>
      </x:c>
      <x:c r="E11" s="115" t="n">
        <x:f>C11*D11</x:f>
        <x:v>3118.1004576</x:v>
      </x:c>
      <x:c r="F11" s="74" t="str">
        <x:v>Study Figure 4.3.2</x:v>
      </x:c>
      <x:c r="G11" s="74"/>
      <x:c r="H11" s="74"/>
      <x:c r="I11" s="74"/>
      <x:c r="J11" s="74"/>
      <x:c r="K11" s="74"/>
      <x:c r="L11" s="74"/>
      <x:c r="M11" s="74"/>
      <x:c r="N11" s="74"/>
      <x:c r="O11" s="74"/>
      <x:c r="P11" s="74"/>
      <x:c r="Q11" s="74"/>
      <x:c r="R11" s="74"/>
      <x:c r="S11" s="74"/>
      <x:c r="T11" s="74"/>
      <x:c r="U11" s="74"/>
      <x:c r="V11" s="74"/>
      <x:c r="W11" s="74"/>
      <x:c r="X11" s="74"/>
      <x:c r="Y11" s="74"/>
      <x:c r="Z11" s="74"/>
    </x:row>
    <x:row r="12">
      <x:c r="A12" s="74"/>
      <x:c r="B12" s="74"/>
      <x:c r="C12" s="74"/>
      <x:c r="D12" s="74"/>
      <x:c r="E12" s="74"/>
      <x:c r="F12" s="74"/>
      <x:c r="G12" s="74"/>
      <x:c r="H12" s="74"/>
      <x:c r="I12" s="74"/>
      <x:c r="J12" s="74"/>
      <x:c r="K12" s="74"/>
      <x:c r="L12" s="74"/>
      <x:c r="M12" s="74"/>
      <x:c r="N12" s="74"/>
      <x:c r="O12" s="74"/>
      <x:c r="P12" s="74"/>
      <x:c r="Q12" s="74"/>
      <x:c r="R12" s="74"/>
      <x:c r="S12" s="74"/>
      <x:c r="T12" s="74"/>
      <x:c r="U12" s="74"/>
      <x:c r="V12" s="74"/>
      <x:c r="W12" s="74"/>
      <x:c r="X12" s="74"/>
      <x:c r="Y12" s="74"/>
      <x:c r="Z12" s="74"/>
    </x:row>
    <x:row r="13">
      <x:c r="A13" s="74"/>
      <x:c r="B13" s="74"/>
      <x:c r="C13" s="74"/>
      <x:c r="D13" s="74"/>
      <x:c r="E13" s="74"/>
      <x:c r="F13" s="74"/>
      <x:c r="G13" s="74"/>
      <x:c r="H13" s="74"/>
      <x:c r="I13" s="74"/>
      <x:c r="J13" s="74"/>
      <x:c r="K13" s="74"/>
      <x:c r="L13" s="74"/>
      <x:c r="M13" s="74"/>
      <x:c r="N13" s="74"/>
      <x:c r="O13" s="74"/>
      <x:c r="P13" s="74"/>
      <x:c r="Q13" s="74"/>
      <x:c r="R13" s="74"/>
      <x:c r="S13" s="74"/>
      <x:c r="T13" s="74"/>
      <x:c r="U13" s="74"/>
      <x:c r="V13" s="74"/>
      <x:c r="W13" s="74"/>
      <x:c r="X13" s="74"/>
      <x:c r="Y13" s="74"/>
      <x:c r="Z13" s="74"/>
    </x:row>
    <x:row r="14">
      <x:c r="A14" s="74"/>
      <x:c r="B14" s="74"/>
      <x:c r="C14" s="74"/>
      <x:c r="D14" s="74"/>
      <x:c r="E14" s="74"/>
      <x:c r="F14" s="74"/>
      <x:c r="G14" s="74"/>
      <x:c r="H14" s="74"/>
      <x:c r="I14" s="74"/>
      <x:c r="J14" s="74"/>
      <x:c r="K14" s="74"/>
      <x:c r="L14" s="74"/>
      <x:c r="M14" s="74"/>
      <x:c r="N14" s="74"/>
      <x:c r="O14" s="74"/>
      <x:c r="P14" s="74"/>
      <x:c r="Q14" s="74"/>
      <x:c r="R14" s="74"/>
      <x:c r="S14" s="74"/>
      <x:c r="T14" s="74"/>
      <x:c r="U14" s="74"/>
      <x:c r="V14" s="74"/>
      <x:c r="W14" s="74"/>
      <x:c r="X14" s="74"/>
      <x:c r="Y14" s="74"/>
      <x:c r="Z14" s="74"/>
    </x:row>
    <x:row r="15">
      <x:c r="A15" s="74"/>
      <x:c r="B15" s="74"/>
      <x:c r="C15" s="74"/>
      <x:c r="D15" s="74"/>
      <x:c r="E15" s="74"/>
      <x:c r="F15" s="74"/>
      <x:c r="G15" s="74"/>
      <x:c r="H15" s="74"/>
      <x:c r="I15" s="74"/>
      <x:c r="J15" s="74"/>
      <x:c r="K15" s="74"/>
      <x:c r="L15" s="74"/>
      <x:c r="M15" s="74"/>
      <x:c r="N15" s="74"/>
      <x:c r="O15" s="74"/>
      <x:c r="P15" s="74"/>
      <x:c r="Q15" s="74"/>
      <x:c r="R15" s="74"/>
      <x:c r="S15" s="74"/>
      <x:c r="T15" s="74"/>
      <x:c r="U15" s="74"/>
      <x:c r="V15" s="74"/>
      <x:c r="W15" s="74"/>
      <x:c r="X15" s="74"/>
      <x:c r="Y15" s="74"/>
      <x:c r="Z15" s="74"/>
    </x:row>
    <x:row r="16">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row>
    <x:row r="22">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row>
    <x:row r="23">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5" hidden="0" customWidth="1"/>
  </x:cols>
  <x:sheetData>
    <x:row r="1">
      <x:c r="A1" s="77" t="str">
        <x:v>Scenario</x:v>
      </x:c>
      <x:c r="B1" s="77" t="str">
        <x:v>Peak reduction</x:v>
      </x:c>
      <x:c r="C1" s="77" t="str">
        <x:v>Peak to standard</x:v>
      </x:c>
      <x:c r="D1" s="77" t="str">
        <x:v>Peak to off-peak</x:v>
      </x:c>
      <x:c r="E1" s="77" t="str">
        <x:v>Demand saving (USD)</x:v>
      </x:c>
      <x:c r="F1" s="77" t="str">
        <x:v>Time-shift saving (USD)</x:v>
      </x:c>
      <x:c r="G1" s="77" t="str">
        <x:v>Total saving (USD)</x:v>
      </x:c>
      <x:c r="H1" s="77" t="str">
        <x:v>Saving vs baseline</x:v>
      </x:c>
      <x:c r="I1" s="77" t="str">
        <x:v>Claim status</x:v>
      </x:c>
      <x:c r="J1" s="74"/>
      <x:c r="K1" s="74"/>
      <x:c r="L1" s="74"/>
      <x:c r="M1" s="74"/>
      <x:c r="N1" s="74"/>
      <x:c r="O1" s="74"/>
      <x:c r="P1" s="74"/>
      <x:c r="Q1" s="74"/>
      <x:c r="R1" s="74"/>
      <x:c r="S1" s="74"/>
      <x:c r="T1" s="74"/>
      <x:c r="U1" s="74"/>
      <x:c r="V1" s="74"/>
      <x:c r="W1" s="74"/>
      <x:c r="X1" s="74"/>
      <x:c r="Y1" s="74"/>
      <x:c r="Z1" s="74"/>
    </x:row>
    <x:row r="2">
      <x:c r="A2" s="96" t="str">
        <x:f>Inputs!E4</x:f>
        <x:v>Conservative</x:v>
      </x:c>
      <x:c r="B2" s="114" t="n">
        <x:f>Inputs!F4</x:f>
        <x:v>0.03</x:v>
      </x:c>
      <x:c r="C2" s="114" t="n">
        <x:f>Inputs!G4</x:f>
        <x:v>0.01</x:v>
      </x:c>
      <x:c r="D2" s="114" t="n">
        <x:f>Inputs!H4</x:f>
        <x:v>0</x:v>
      </x:c>
      <x:c r="E2" s="101" t="n">
        <x:f>SUM('Monthly Estimates'!$E$2:$E$9)*B2*Inputs!$B$5</x:f>
        <x:v>2109.9093304558696</x:v>
      </x:c>
      <x:c r="F2" s="101" t="n">
        <x:f>SUM('Monthly Estimates'!$B$2:$B$9)*(C2*(Inputs!$B$6-Inputs!$B$7)+D2*(Inputs!$B$6-Inputs!$B$8))</x:f>
        <x:v>3839.6647739999994</x:v>
      </x:c>
      <x:c r="G2" s="101" t="n">
        <x:f>E2+F2</x:f>
        <x:v>5949.574104455869</x:v>
      </x:c>
      <x:c r="H2" s="118" t="n">
        <x:f>G2/'Monthly Estimates'!$G$11</x:f>
        <x:v>0.009857848922228395</x:v>
      </x:c>
      <x:c r="I2" s="74" t="str">
        <x:v>Planning estimate only</x:v>
      </x:c>
      <x:c r="J2" s="74"/>
      <x:c r="K2" s="74"/>
      <x:c r="L2" s="74"/>
      <x:c r="M2" s="74"/>
      <x:c r="N2" s="74"/>
      <x:c r="O2" s="74"/>
      <x:c r="P2" s="74"/>
      <x:c r="Q2" s="74"/>
      <x:c r="R2" s="74"/>
      <x:c r="S2" s="74"/>
      <x:c r="T2" s="74"/>
      <x:c r="U2" s="74"/>
      <x:c r="V2" s="74"/>
      <x:c r="W2" s="74"/>
      <x:c r="X2" s="74"/>
      <x:c r="Y2" s="74"/>
      <x:c r="Z2" s="74"/>
    </x:row>
    <x:row r="3">
      <x:c r="A3" s="96" t="str">
        <x:f>Inputs!E5</x:f>
        <x:v>Central planning</x:v>
      </x:c>
      <x:c r="B3" s="114" t="n">
        <x:f>Inputs!F5</x:f>
        <x:v>0.05</x:v>
      </x:c>
      <x:c r="C3" s="114" t="n">
        <x:f>Inputs!G5</x:f>
        <x:v>0.02</x:v>
      </x:c>
      <x:c r="D3" s="114" t="n">
        <x:f>Inputs!H5</x:f>
        <x:v>0.005</x:v>
      </x:c>
      <x:c r="E3" s="101" t="n">
        <x:f>SUM('Monthly Estimates'!$E$2:$E$9)*B3*Inputs!$B$5</x:f>
        <x:v>3516.5155507597833</x:v>
      </x:c>
      <x:c r="F3" s="101" t="n">
        <x:f>SUM('Monthly Estimates'!$B$2:$B$9)*(C3*(Inputs!$B$6-Inputs!$B$7)+D3*(Inputs!$B$6-Inputs!$B$8))</x:f>
        <x:v>10653.849913</x:v>
      </x:c>
      <x:c r="G3" s="101" t="n">
        <x:f>E3+F3</x:f>
        <x:v>14170.365463759783</x:v>
      </x:c>
      <x:c r="H3" s="118" t="n">
        <x:f>G3/'Monthly Estimates'!$G$11</x:f>
        <x:v>0.023478877556947823</x:v>
      </x:c>
      <x:c r="I3" s="74" t="str">
        <x:v>Planning estimate only</x:v>
      </x:c>
      <x:c r="J3" s="74"/>
      <x:c r="K3" s="74"/>
      <x:c r="L3" s="74"/>
      <x:c r="M3" s="74"/>
      <x:c r="N3" s="74"/>
      <x:c r="O3" s="74"/>
      <x:c r="P3" s="74"/>
      <x:c r="Q3" s="74"/>
      <x:c r="R3" s="74"/>
      <x:c r="S3" s="74"/>
      <x:c r="T3" s="74"/>
      <x:c r="U3" s="74"/>
      <x:c r="V3" s="74"/>
      <x:c r="W3" s="74"/>
      <x:c r="X3" s="74"/>
      <x:c r="Y3" s="74"/>
      <x:c r="Z3" s="74"/>
    </x:row>
    <x:row r="4">
      <x:c r="A4" s="96" t="str">
        <x:f>Inputs!E6</x:f>
        <x:v>Stretch planning</x:v>
      </x:c>
      <x:c r="B4" s="114" t="n">
        <x:f>Inputs!F6</x:f>
        <x:v>0.08</x:v>
      </x:c>
      <x:c r="C4" s="114" t="n">
        <x:f>Inputs!G6</x:f>
        <x:v>0.03</x:v>
      </x:c>
      <x:c r="D4" s="114" t="n">
        <x:f>Inputs!H6</x:f>
        <x:v>0.01</x:v>
      </x:c>
      <x:c r="E4" s="101" t="n">
        <x:f>SUM('Monthly Estimates'!$E$2:$E$9)*B4*Inputs!$B$5</x:f>
        <x:v>5626.424881215653</x:v>
      </x:c>
      <x:c r="F4" s="101" t="n">
        <x:f>SUM('Monthly Estimates'!$B$2:$B$9)*(C4*(Inputs!$B$6-Inputs!$B$7)+D4*(Inputs!$B$6-Inputs!$B$8))</x:f>
        <x:v>17468.035052</x:v>
      </x:c>
      <x:c r="G4" s="101" t="n">
        <x:f>E4+F4</x:f>
        <x:v>23094.45993321565</x:v>
      </x:c>
      <x:c r="H4" s="118" t="n">
        <x:f>G4/'Monthly Estimates'!$G$11</x:f>
        <x:v>0.03826520906624089</x:v>
      </x:c>
      <x:c r="I4" s="74" t="str">
        <x:v>Planning estimate only</x:v>
      </x:c>
      <x:c r="J4" s="74"/>
      <x:c r="K4" s="74"/>
      <x:c r="L4" s="74"/>
      <x:c r="M4" s="74"/>
      <x:c r="N4" s="74"/>
      <x:c r="O4" s="74"/>
      <x:c r="P4" s="74"/>
      <x:c r="Q4" s="74"/>
      <x:c r="R4" s="74"/>
      <x:c r="S4" s="74"/>
      <x:c r="T4" s="74"/>
      <x:c r="U4" s="74"/>
      <x:c r="V4" s="74"/>
      <x:c r="W4" s="74"/>
      <x:c r="X4" s="74"/>
      <x:c r="Y4" s="74"/>
      <x:c r="Z4" s="74"/>
    </x:row>
    <x:row r="5">
      <x:c r="A5" s="74"/>
      <x:c r="B5" s="74"/>
      <x:c r="C5" s="74"/>
      <x:c r="D5" s="74"/>
      <x:c r="E5" s="74"/>
      <x:c r="F5" s="74"/>
      <x:c r="G5" s="74"/>
      <x:c r="H5" s="74"/>
      <x:c r="I5" s="74"/>
      <x:c r="J5" s="74"/>
      <x:c r="K5" s="74"/>
      <x:c r="L5" s="74"/>
      <x:c r="M5" s="74"/>
      <x:c r="N5" s="74"/>
      <x:c r="O5" s="74"/>
      <x:c r="P5" s="74"/>
      <x:c r="Q5" s="74"/>
      <x:c r="R5" s="74"/>
      <x:c r="S5" s="74"/>
      <x:c r="T5" s="74"/>
      <x:c r="U5" s="74"/>
      <x:c r="V5" s="74"/>
      <x:c r="W5" s="74"/>
      <x:c r="X5" s="74"/>
      <x:c r="Y5" s="74"/>
      <x:c r="Z5" s="74"/>
    </x:row>
    <x:row r="6">
      <x:c r="A6" s="74"/>
      <x:c r="B6" s="74"/>
      <x:c r="C6" s="74"/>
      <x:c r="D6" s="74"/>
      <x:c r="E6" s="74"/>
      <x:c r="F6" s="74"/>
      <x:c r="G6" s="74"/>
      <x:c r="H6" s="74"/>
      <x:c r="I6" s="74"/>
      <x:c r="J6" s="74"/>
      <x:c r="K6" s="74"/>
      <x:c r="L6" s="74"/>
      <x:c r="M6" s="74"/>
      <x:c r="N6" s="74"/>
      <x:c r="O6" s="74"/>
      <x:c r="P6" s="74"/>
      <x:c r="Q6" s="74"/>
      <x:c r="R6" s="74"/>
      <x:c r="S6" s="74"/>
      <x:c r="T6" s="74"/>
      <x:c r="U6" s="74"/>
      <x:c r="V6" s="74"/>
      <x:c r="W6" s="74"/>
      <x:c r="X6" s="74"/>
      <x:c r="Y6" s="74"/>
      <x:c r="Z6" s="74"/>
    </x:row>
    <x:row r="7">
      <x:c r="A7" s="74"/>
      <x:c r="B7" s="74"/>
      <x:c r="C7" s="74"/>
      <x:c r="D7" s="74"/>
      <x:c r="E7" s="74"/>
      <x:c r="F7" s="74"/>
      <x:c r="G7" s="74"/>
      <x:c r="H7" s="74"/>
      <x:c r="I7" s="74"/>
      <x:c r="J7" s="74"/>
      <x:c r="K7" s="74"/>
      <x:c r="L7" s="74"/>
      <x:c r="M7" s="74"/>
      <x:c r="N7" s="74"/>
      <x:c r="O7" s="74"/>
      <x:c r="P7" s="74"/>
      <x:c r="Q7" s="74"/>
      <x:c r="R7" s="74"/>
      <x:c r="S7" s="74"/>
      <x:c r="T7" s="74"/>
      <x:c r="U7" s="74"/>
      <x:c r="V7" s="74"/>
      <x:c r="W7" s="74"/>
      <x:c r="X7" s="74"/>
      <x:c r="Y7" s="74"/>
      <x:c r="Z7" s="74"/>
    </x:row>
    <x:row r="8">
      <x:c r="A8" s="74"/>
      <x:c r="B8" s="74"/>
      <x:c r="C8" s="74"/>
      <x:c r="D8" s="74"/>
      <x:c r="E8" s="74"/>
      <x:c r="F8" s="74"/>
      <x:c r="G8" s="74"/>
      <x:c r="H8" s="74"/>
      <x:c r="I8" s="74"/>
      <x:c r="J8" s="74"/>
      <x:c r="K8" s="74"/>
      <x:c r="L8" s="74"/>
      <x:c r="M8" s="74"/>
      <x:c r="N8" s="74"/>
      <x:c r="O8" s="74"/>
      <x:c r="P8" s="74"/>
      <x:c r="Q8" s="74"/>
      <x:c r="R8" s="74"/>
      <x:c r="S8" s="74"/>
      <x:c r="T8" s="74"/>
      <x:c r="U8" s="74"/>
      <x:c r="V8" s="74"/>
      <x:c r="W8" s="74"/>
      <x:c r="X8" s="74"/>
      <x:c r="Y8" s="74"/>
      <x:c r="Z8" s="74"/>
    </x:row>
    <x:row r="9">
      <x:c r="A9" s="74"/>
      <x:c r="B9" s="74"/>
      <x:c r="C9" s="74"/>
      <x:c r="D9" s="74"/>
      <x:c r="E9" s="74"/>
      <x:c r="F9" s="74"/>
      <x:c r="G9" s="74"/>
      <x:c r="H9" s="74"/>
      <x:c r="I9" s="74"/>
      <x:c r="J9" s="74"/>
      <x:c r="K9" s="74"/>
      <x:c r="L9" s="74"/>
      <x:c r="M9" s="74"/>
      <x:c r="N9" s="74"/>
      <x:c r="O9" s="74"/>
      <x:c r="P9" s="74"/>
      <x:c r="Q9" s="74"/>
      <x:c r="R9" s="74"/>
      <x:c r="S9" s="74"/>
      <x:c r="T9" s="74"/>
      <x:c r="U9" s="74"/>
      <x:c r="V9" s="74"/>
      <x:c r="W9" s="74"/>
      <x:c r="X9" s="74"/>
      <x:c r="Y9" s="74"/>
      <x:c r="Z9" s="74"/>
    </x:row>
    <x:row r="10">
      <x:c r="A10" s="74"/>
      <x:c r="B10" s="74"/>
      <x:c r="C10" s="74"/>
      <x:c r="D10" s="74"/>
      <x:c r="E10" s="74"/>
      <x:c r="F10" s="74"/>
      <x:c r="G10" s="74"/>
      <x:c r="H10" s="74"/>
      <x:c r="I10" s="74"/>
      <x:c r="J10" s="74"/>
      <x:c r="K10" s="74"/>
      <x:c r="L10" s="74"/>
      <x:c r="M10" s="74"/>
      <x:c r="N10" s="74"/>
      <x:c r="O10" s="74"/>
      <x:c r="P10" s="74"/>
      <x:c r="Q10" s="74"/>
      <x:c r="R10" s="74"/>
      <x:c r="S10" s="74"/>
      <x:c r="T10" s="74"/>
      <x:c r="U10" s="74"/>
      <x:c r="V10" s="74"/>
      <x:c r="W10" s="74"/>
      <x:c r="X10" s="74"/>
      <x:c r="Y10" s="74"/>
      <x:c r="Z10" s="74"/>
    </x:row>
    <x:row r="11">
      <x:c r="A11" s="74"/>
      <x:c r="B11" s="74"/>
      <x:c r="C11" s="74"/>
      <x:c r="D11" s="74"/>
      <x:c r="E11" s="74"/>
      <x:c r="F11" s="74"/>
      <x:c r="G11" s="74"/>
      <x:c r="H11" s="74"/>
      <x:c r="I11" s="74"/>
      <x:c r="J11" s="74"/>
      <x:c r="K11" s="74"/>
      <x:c r="L11" s="74"/>
      <x:c r="M11" s="74"/>
      <x:c r="N11" s="74"/>
      <x:c r="O11" s="74"/>
      <x:c r="P11" s="74"/>
      <x:c r="Q11" s="74"/>
      <x:c r="R11" s="74"/>
      <x:c r="S11" s="74"/>
      <x:c r="T11" s="74"/>
      <x:c r="U11" s="74"/>
      <x:c r="V11" s="74"/>
      <x:c r="W11" s="74"/>
      <x:c r="X11" s="74"/>
      <x:c r="Y11" s="74"/>
      <x:c r="Z11" s="74"/>
    </x:row>
    <x:row r="12">
      <x:c r="A12" s="74"/>
      <x:c r="B12" s="74"/>
      <x:c r="C12" s="74"/>
      <x:c r="D12" s="74"/>
      <x:c r="E12" s="74"/>
      <x:c r="F12" s="74"/>
      <x:c r="G12" s="74"/>
      <x:c r="H12" s="74"/>
      <x:c r="I12" s="74"/>
      <x:c r="J12" s="74"/>
      <x:c r="K12" s="74"/>
      <x:c r="L12" s="74"/>
      <x:c r="M12" s="74"/>
      <x:c r="N12" s="74"/>
      <x:c r="O12" s="74"/>
      <x:c r="P12" s="74"/>
      <x:c r="Q12" s="74"/>
      <x:c r="R12" s="74"/>
      <x:c r="S12" s="74"/>
      <x:c r="T12" s="74"/>
      <x:c r="U12" s="74"/>
      <x:c r="V12" s="74"/>
      <x:c r="W12" s="74"/>
      <x:c r="X12" s="74"/>
      <x:c r="Y12" s="74"/>
      <x:c r="Z12" s="74"/>
    </x:row>
    <x:row r="13">
      <x:c r="A13" s="74"/>
      <x:c r="B13" s="74"/>
      <x:c r="C13" s="74"/>
      <x:c r="D13" s="74"/>
      <x:c r="E13" s="74"/>
      <x:c r="F13" s="74"/>
      <x:c r="G13" s="74"/>
      <x:c r="H13" s="74"/>
      <x:c r="I13" s="74"/>
      <x:c r="J13" s="74"/>
      <x:c r="K13" s="74"/>
      <x:c r="L13" s="74"/>
      <x:c r="M13" s="74"/>
      <x:c r="N13" s="74"/>
      <x:c r="O13" s="74"/>
      <x:c r="P13" s="74"/>
      <x:c r="Q13" s="74"/>
      <x:c r="R13" s="74"/>
      <x:c r="S13" s="74"/>
      <x:c r="T13" s="74"/>
      <x:c r="U13" s="74"/>
      <x:c r="V13" s="74"/>
      <x:c r="W13" s="74"/>
      <x:c r="X13" s="74"/>
      <x:c r="Y13" s="74"/>
      <x:c r="Z13" s="74"/>
    </x:row>
    <x:row r="14">
      <x:c r="A14" s="74"/>
      <x:c r="B14" s="74"/>
      <x:c r="C14" s="74"/>
      <x:c r="D14" s="74"/>
      <x:c r="E14" s="74"/>
      <x:c r="F14" s="74"/>
      <x:c r="G14" s="74"/>
      <x:c r="H14" s="74"/>
      <x:c r="I14" s="74"/>
      <x:c r="J14" s="74"/>
      <x:c r="K14" s="74"/>
      <x:c r="L14" s="74"/>
      <x:c r="M14" s="74"/>
      <x:c r="N14" s="74"/>
      <x:c r="O14" s="74"/>
      <x:c r="P14" s="74"/>
      <x:c r="Q14" s="74"/>
      <x:c r="R14" s="74"/>
      <x:c r="S14" s="74"/>
      <x:c r="T14" s="74"/>
      <x:c r="U14" s="74"/>
      <x:c r="V14" s="74"/>
      <x:c r="W14" s="74"/>
      <x:c r="X14" s="74"/>
      <x:c r="Y14" s="74"/>
      <x:c r="Z14" s="74"/>
    </x:row>
    <x:row r="15">
      <x:c r="A15" s="74"/>
      <x:c r="B15" s="74"/>
      <x:c r="C15" s="74"/>
      <x:c r="D15" s="74"/>
      <x:c r="E15" s="74"/>
      <x:c r="F15" s="74"/>
      <x:c r="G15" s="74"/>
      <x:c r="H15" s="74"/>
      <x:c r="I15" s="74"/>
      <x:c r="J15" s="74"/>
      <x:c r="K15" s="74"/>
      <x:c r="L15" s="74"/>
      <x:c r="M15" s="74"/>
      <x:c r="N15" s="74"/>
      <x:c r="O15" s="74"/>
      <x:c r="P15" s="74"/>
      <x:c r="Q15" s="74"/>
      <x:c r="R15" s="74"/>
      <x:c r="S15" s="74"/>
      <x:c r="T15" s="74"/>
      <x:c r="U15" s="74"/>
      <x:c r="V15" s="74"/>
      <x:c r="W15" s="74"/>
      <x:c r="X15" s="74"/>
      <x:c r="Y15" s="74"/>
      <x:c r="Z15" s="74"/>
    </x:row>
    <x:row r="16">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row>
    <x:row r="17">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row>
    <x:row r="18">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row>
    <x:row r="19">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row>
    <x:row r="20">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row>
    <x:row r="2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row>
    <x:row r="22">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row>
    <x:row r="23">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row>
    <x:row r="24">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row>
    <x:row r="25">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row>
    <x:row r="26">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row>
    <x:row r="27">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row>
    <x:row r="28">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row>
    <x:row r="29">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row>
    <x:row r="30">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row>
    <x:row r="3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row>
    <x:row r="32">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row>
    <x:row r="33">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row>
    <x:row r="34">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row>
    <x:row r="35">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row>
    <x:row r="36">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row>
    <x:row r="37">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row>
    <x:row r="38">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row>
    <x:row r="39">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row>
    <x:row r="40">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row>
    <x:row r="4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row>
    <x:row r="42">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row>
    <x:row r="43">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row>
    <x:row r="44">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row>
    <x:row r="45">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row>
    <x:row r="46">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row>
    <x:row r="47">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row>
    <x:row r="48">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row>
    <x:row r="49">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row>
    <x:row r="50">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row>
    <x:row r="5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row>
    <x:row r="52">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row>
    <x:row r="53">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row>
    <x:row r="54">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row>
    <x:row r="55">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row>
    <x:row r="56">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row>
    <x:row r="57">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row>
    <x:row r="58">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row>
    <x:row r="59">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row>
    <x:row r="60">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row>
    <x:row r="6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row>
    <x:row r="62">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row>
    <x:row r="63">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row>
    <x:row r="64">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row>
    <x:row r="65">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row>
    <x:row r="66">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row>
    <x:row r="67">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row>
    <x:row r="68">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row>
    <x:row r="69">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row>
    <x:row r="70">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4"/>
      <x:c r="Z70" s="74"/>
    </x:row>
    <x:row r="7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4"/>
      <x:c r="Z71" s="74"/>
    </x:row>
    <x:row r="72">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4"/>
      <x:c r="Z72" s="74"/>
    </x:row>
    <x:row r="73">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4"/>
      <x:c r="Z73" s="74"/>
    </x:row>
    <x:row r="74">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4"/>
      <x:c r="Z74" s="74"/>
    </x:row>
    <x:row r="75">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4"/>
      <x:c r="Z75" s="74"/>
    </x:row>
    <x:row r="76">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4"/>
      <x:c r="Z76" s="74"/>
    </x:row>
    <x:row r="77">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4"/>
      <x:c r="Z77" s="74"/>
    </x:row>
    <x:row r="78">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4"/>
      <x:c r="Z78" s="74"/>
    </x:row>
    <x:row r="79">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4"/>
      <x:c r="Z79" s="74"/>
    </x:row>
    <x:row r="80">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4"/>
      <x:c r="Z80" s="74"/>
    </x:row>
    <x:row r="8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4"/>
      <x:c r="Z81" s="74"/>
    </x:row>
    <x:row r="82">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4"/>
      <x:c r="Z82" s="74"/>
    </x:row>
    <x:row r="83">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4"/>
      <x:c r="Z83" s="74"/>
    </x:row>
    <x:row r="84">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4"/>
      <x:c r="Z84" s="74"/>
    </x:row>
    <x:row r="85">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4"/>
      <x:c r="Z85" s="74"/>
    </x:row>
    <x:row r="86">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4"/>
      <x:c r="Z86" s="74"/>
    </x:row>
    <x:row r="87">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4"/>
      <x:c r="Z87" s="74"/>
    </x:row>
    <x:row r="88">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4"/>
      <x:c r="Z88" s="74"/>
    </x:row>
    <x:row r="89">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4"/>
      <x:c r="Z89" s="74"/>
    </x:row>
    <x:row r="90">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4"/>
      <x:c r="Z90" s="74"/>
    </x:row>
    <x:row r="9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4"/>
      <x:c r="Z91" s="74"/>
    </x:row>
    <x:row r="92">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4"/>
      <x:c r="Z92" s="74"/>
    </x:row>
    <x:row r="93">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4"/>
      <x:c r="Z93" s="74"/>
    </x:row>
    <x:row r="94">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4"/>
      <x:c r="Z94" s="74"/>
    </x:row>
    <x:row r="95">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4"/>
      <x:c r="Z95" s="74"/>
    </x:row>
    <x:row r="96">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4"/>
      <x:c r="Z96" s="74"/>
    </x:row>
    <x:row r="97">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4"/>
      <x:c r="Z97" s="74"/>
    </x:row>
    <x:row r="98">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4"/>
      <x:c r="Z98" s="74"/>
    </x:row>
    <x:row r="99">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4"/>
      <x:c r="Z99" s="74"/>
    </x:row>
    <x:row r="100">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4"/>
      <x:c r="Z100" s="74"/>
    </x:row>
  </x:sheetData>
  <x:pageMargins left="0.7" right="0.7" top="0.75" bottom="0.75" header="0.3" footer="0.3"/>
  <x:drawing xmlns:r="http://schemas.openxmlformats.org/officeDocument/2006/relationships" r:id="R5a2de3c8dfd94b80"/>
</x:worksheet>
</file>